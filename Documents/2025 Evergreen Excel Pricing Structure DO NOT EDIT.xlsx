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Git-Globeweigh\Evergreen\Documents\"/>
    </mc:Choice>
  </mc:AlternateContent>
  <xr:revisionPtr revIDLastSave="0" documentId="13_ncr:1_{3EF5DF7A-C5C8-471C-96C0-FA787A275633}" xr6:coauthVersionLast="47" xr6:coauthVersionMax="47" xr10:uidLastSave="{00000000-0000-0000-0000-000000000000}"/>
  <bookViews>
    <workbookView xWindow="-108" yWindow="-108" windowWidth="46296" windowHeight="25536" activeTab="1" xr2:uid="{00000000-000D-0000-FFFF-FFFF00000000}"/>
  </bookViews>
  <sheets>
    <sheet name="Longacres" sheetId="53" r:id="rId1"/>
    <sheet name="Formulas 14 November 2024" sheetId="52" r:id="rId2"/>
    <sheet name="Belfast City Council 2024" sheetId="51" r:id="rId3"/>
    <sheet name="Export" sheetId="50" r:id="rId4"/>
    <sheet name="Pence Increase" sheetId="43" r:id="rId5"/>
    <sheet name="2022 COD Haulage Zones" sheetId="35" r:id="rId6"/>
    <sheet name="% Calculator" sheetId="36" r:id="rId7"/>
  </sheets>
  <definedNames>
    <definedName name="_xlnm.Print_Area" localSheetId="2">'Belfast City Council 2024'!$A$1:$G$42</definedName>
    <definedName name="_xlnm.Print_Area" localSheetId="3">Export!$A$1:$X$60</definedName>
    <definedName name="_xlnm.Print_Area" localSheetId="1">'Formulas 14 November 2024'!$A$1:$AH$66</definedName>
    <definedName name="_xlnm.Print_Area" localSheetId="0">Longacres!$A$1:$F$60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" i="52" l="1"/>
  <c r="U59" i="52" s="1"/>
  <c r="T58" i="52"/>
  <c r="U58" i="52" s="1"/>
  <c r="T57" i="52"/>
  <c r="U57" i="52" s="1"/>
  <c r="T56" i="52"/>
  <c r="U56" i="52" s="1"/>
  <c r="T54" i="52"/>
  <c r="U54" i="52" s="1"/>
  <c r="T53" i="52"/>
  <c r="U53" i="52" s="1"/>
  <c r="T51" i="52"/>
  <c r="U51" i="52" s="1"/>
  <c r="T50" i="52"/>
  <c r="U50" i="52" s="1"/>
  <c r="T49" i="52"/>
  <c r="U49" i="52" s="1"/>
  <c r="T48" i="52"/>
  <c r="U48" i="52" s="1"/>
  <c r="T47" i="52"/>
  <c r="U47" i="52" s="1"/>
  <c r="T46" i="52"/>
  <c r="U46" i="52" s="1"/>
  <c r="T45" i="52"/>
  <c r="U45" i="52" s="1"/>
  <c r="T43" i="52"/>
  <c r="U43" i="52" s="1"/>
  <c r="T42" i="52"/>
  <c r="U42" i="52" s="1"/>
  <c r="T41" i="52"/>
  <c r="U41" i="52" s="1"/>
  <c r="T40" i="52"/>
  <c r="U40" i="52" s="1"/>
  <c r="T38" i="52"/>
  <c r="U38" i="52" s="1"/>
  <c r="T37" i="52"/>
  <c r="U37" i="52" s="1"/>
  <c r="T36" i="52"/>
  <c r="U36" i="52" s="1"/>
  <c r="Y35" i="52"/>
  <c r="T35" i="52"/>
  <c r="U35" i="52" s="1"/>
  <c r="T34" i="52"/>
  <c r="U34" i="52" s="1"/>
  <c r="T33" i="52"/>
  <c r="U33" i="52" s="1"/>
  <c r="T32" i="52"/>
  <c r="U32" i="52" s="1"/>
  <c r="T31" i="52"/>
  <c r="U31" i="52" s="1"/>
  <c r="T30" i="52"/>
  <c r="U30" i="52" s="1"/>
  <c r="T29" i="52"/>
  <c r="U29" i="52" s="1"/>
  <c r="T28" i="52"/>
  <c r="U28" i="52" s="1"/>
  <c r="T27" i="52"/>
  <c r="U27" i="52" s="1"/>
  <c r="T26" i="52"/>
  <c r="U26" i="52" s="1"/>
  <c r="T25" i="52"/>
  <c r="U25" i="52" s="1"/>
  <c r="T24" i="52"/>
  <c r="U24" i="52" s="1"/>
  <c r="T23" i="52"/>
  <c r="U23" i="52" s="1"/>
  <c r="T22" i="52"/>
  <c r="U22" i="52" s="1"/>
  <c r="T21" i="52"/>
  <c r="U21" i="52" s="1"/>
  <c r="T20" i="52"/>
  <c r="U20" i="52" s="1"/>
  <c r="T18" i="52"/>
  <c r="U18" i="52" s="1"/>
  <c r="T17" i="52"/>
  <c r="U17" i="52" s="1"/>
  <c r="T16" i="52"/>
  <c r="U16" i="52" s="1"/>
  <c r="T15" i="52"/>
  <c r="U15" i="52" s="1"/>
  <c r="T14" i="52"/>
  <c r="U14" i="52" s="1"/>
  <c r="T13" i="52"/>
  <c r="U13" i="52" s="1"/>
  <c r="T12" i="52"/>
  <c r="U12" i="52" s="1"/>
  <c r="T11" i="52"/>
  <c r="U11" i="52" s="1"/>
  <c r="G12" i="51"/>
  <c r="G13" i="51"/>
  <c r="G14" i="51"/>
  <c r="G15" i="51"/>
  <c r="G16" i="51"/>
  <c r="G17" i="51"/>
  <c r="G18" i="51"/>
  <c r="G19" i="51"/>
  <c r="G20" i="51"/>
  <c r="G22" i="51"/>
  <c r="G23" i="51"/>
  <c r="G24" i="51"/>
  <c r="G25" i="51"/>
  <c r="G27" i="51"/>
  <c r="G28" i="51"/>
  <c r="G29" i="51"/>
  <c r="G30" i="51"/>
  <c r="G31" i="51"/>
  <c r="G11" i="51"/>
  <c r="AE12" i="50"/>
  <c r="AE13" i="50"/>
  <c r="AE14" i="50"/>
  <c r="AE15" i="50"/>
  <c r="AE16" i="50"/>
  <c r="AE17" i="50"/>
  <c r="AE18" i="50"/>
  <c r="AE19" i="50"/>
  <c r="AE20" i="50"/>
  <c r="AE21" i="50"/>
  <c r="AE22" i="50"/>
  <c r="AE23" i="50"/>
  <c r="AE24" i="50"/>
  <c r="AE25" i="50"/>
  <c r="AE26" i="50"/>
  <c r="AE27" i="50"/>
  <c r="AE28" i="50"/>
  <c r="AE29" i="50"/>
  <c r="AE30" i="50"/>
  <c r="AE31" i="50"/>
  <c r="AE32" i="50"/>
  <c r="AE33" i="50"/>
  <c r="AE34" i="50"/>
  <c r="AE35" i="50"/>
  <c r="AE37" i="50"/>
  <c r="AE38" i="50"/>
  <c r="AE39" i="50"/>
  <c r="AE40" i="50"/>
  <c r="AE41" i="50"/>
  <c r="AE42" i="50"/>
  <c r="AE44" i="50"/>
  <c r="AE45" i="50"/>
  <c r="AE11" i="50"/>
  <c r="AE46" i="50"/>
  <c r="AE47" i="50"/>
  <c r="AE48" i="50"/>
  <c r="AE49" i="50"/>
  <c r="AE50" i="50"/>
  <c r="AE51" i="50"/>
  <c r="AE52" i="50"/>
  <c r="AE53" i="50"/>
  <c r="AA53" i="50"/>
  <c r="AB53" i="50"/>
  <c r="AC53" i="50"/>
  <c r="AD53" i="50"/>
  <c r="S53" i="50"/>
  <c r="R53" i="50"/>
  <c r="AA52" i="50"/>
  <c r="AB52" i="50"/>
  <c r="AC52" i="50"/>
  <c r="AD52" i="50"/>
  <c r="S52" i="50"/>
  <c r="R52" i="50"/>
  <c r="AA51" i="50"/>
  <c r="AB51" i="50"/>
  <c r="AC51" i="50"/>
  <c r="AD51" i="50"/>
  <c r="S51" i="50"/>
  <c r="R51" i="50"/>
  <c r="AA50" i="50"/>
  <c r="AB50" i="50"/>
  <c r="AC50" i="50"/>
  <c r="AD50" i="50"/>
  <c r="S50" i="50"/>
  <c r="R50" i="50"/>
  <c r="AA49" i="50"/>
  <c r="AB49" i="50"/>
  <c r="AC49" i="50"/>
  <c r="AD49" i="50"/>
  <c r="S49" i="50"/>
  <c r="R49" i="50"/>
  <c r="AA48" i="50"/>
  <c r="AB48" i="50"/>
  <c r="AC48" i="50"/>
  <c r="AD48" i="50"/>
  <c r="S48" i="50"/>
  <c r="R48" i="50"/>
  <c r="AA47" i="50"/>
  <c r="AB47" i="50"/>
  <c r="AC47" i="50"/>
  <c r="AD47" i="50"/>
  <c r="S47" i="50"/>
  <c r="R47" i="50"/>
  <c r="AA46" i="50"/>
  <c r="AB46" i="50"/>
  <c r="AC46" i="50"/>
  <c r="AA45" i="50"/>
  <c r="AB45" i="50"/>
  <c r="AC45" i="50"/>
  <c r="AD45" i="50"/>
  <c r="R45" i="50"/>
  <c r="S45" i="50"/>
  <c r="AC44" i="50"/>
  <c r="AD44" i="50"/>
  <c r="AB44" i="50"/>
  <c r="AA44" i="50"/>
  <c r="R44" i="50"/>
  <c r="S44" i="50"/>
  <c r="AB43" i="50"/>
  <c r="AC43" i="50"/>
  <c r="AA43" i="50"/>
  <c r="AB42" i="50"/>
  <c r="AC42" i="50"/>
  <c r="AD42" i="50"/>
  <c r="AA42" i="50"/>
  <c r="S42" i="50"/>
  <c r="R42" i="50"/>
  <c r="AB41" i="50"/>
  <c r="AC41" i="50"/>
  <c r="AD41" i="50"/>
  <c r="AA41" i="50"/>
  <c r="S41" i="50"/>
  <c r="R41" i="50"/>
  <c r="AB40" i="50"/>
  <c r="AC40" i="50"/>
  <c r="AD40" i="50"/>
  <c r="AA40" i="50"/>
  <c r="S40" i="50"/>
  <c r="R40" i="50"/>
  <c r="AB39" i="50"/>
  <c r="AC39" i="50"/>
  <c r="AD39" i="50"/>
  <c r="AA39" i="50"/>
  <c r="S39" i="50"/>
  <c r="R39" i="50"/>
  <c r="AB38" i="50"/>
  <c r="AC38" i="50"/>
  <c r="AD38" i="50"/>
  <c r="AA38" i="50"/>
  <c r="S38" i="50"/>
  <c r="R38" i="50"/>
  <c r="AB37" i="50"/>
  <c r="AC37" i="50"/>
  <c r="AD37" i="50"/>
  <c r="AA37" i="50"/>
  <c r="S37" i="50"/>
  <c r="R37" i="50"/>
  <c r="AA36" i="50"/>
  <c r="AB36" i="50"/>
  <c r="AC36" i="50"/>
  <c r="AB35" i="50"/>
  <c r="AC35" i="50"/>
  <c r="AA35" i="50"/>
  <c r="S35" i="50"/>
  <c r="R35" i="50"/>
  <c r="AB34" i="50"/>
  <c r="AC34" i="50"/>
  <c r="AD34" i="50"/>
  <c r="AA34" i="50"/>
  <c r="S34" i="50"/>
  <c r="R34" i="50"/>
  <c r="AB33" i="50"/>
  <c r="AC33" i="50"/>
  <c r="AD33" i="50"/>
  <c r="AA33" i="50"/>
  <c r="S33" i="50"/>
  <c r="R33" i="50"/>
  <c r="AB32" i="50"/>
  <c r="AC32" i="50"/>
  <c r="AD32" i="50"/>
  <c r="AA32" i="50"/>
  <c r="S32" i="50"/>
  <c r="R32" i="50"/>
  <c r="AB31" i="50"/>
  <c r="AC31" i="50"/>
  <c r="AD31" i="50"/>
  <c r="AA31" i="50"/>
  <c r="S31" i="50"/>
  <c r="R31" i="50"/>
  <c r="AB30" i="50"/>
  <c r="AC30" i="50"/>
  <c r="AD30" i="50"/>
  <c r="AA30" i="50"/>
  <c r="S30" i="50"/>
  <c r="R30" i="50"/>
  <c r="AB29" i="50"/>
  <c r="AC29" i="50"/>
  <c r="AD29" i="50"/>
  <c r="AA29" i="50"/>
  <c r="S29" i="50"/>
  <c r="R29" i="50"/>
  <c r="AA28" i="50"/>
  <c r="AB28" i="50"/>
  <c r="AC28" i="50"/>
  <c r="R28" i="50"/>
  <c r="S28" i="50"/>
  <c r="AA27" i="50"/>
  <c r="AB27" i="50"/>
  <c r="AC27" i="50"/>
  <c r="AD27" i="50"/>
  <c r="R27" i="50"/>
  <c r="S27" i="50"/>
  <c r="AA26" i="50"/>
  <c r="AB26" i="50"/>
  <c r="AC26" i="50"/>
  <c r="AD26" i="50"/>
  <c r="R26" i="50"/>
  <c r="S26" i="50"/>
  <c r="AA25" i="50"/>
  <c r="AB25" i="50"/>
  <c r="AC25" i="50"/>
  <c r="AD25" i="50"/>
  <c r="R25" i="50"/>
  <c r="S25" i="50"/>
  <c r="AA24" i="50"/>
  <c r="AB24" i="50"/>
  <c r="AC24" i="50"/>
  <c r="AD24" i="50"/>
  <c r="R24" i="50"/>
  <c r="S24" i="50"/>
  <c r="AA23" i="50"/>
  <c r="AB23" i="50"/>
  <c r="AC23" i="50"/>
  <c r="AD23" i="50"/>
  <c r="R23" i="50"/>
  <c r="S23" i="50"/>
  <c r="AA22" i="50"/>
  <c r="AB22" i="50"/>
  <c r="AC22" i="50"/>
  <c r="AD22" i="50"/>
  <c r="R22" i="50"/>
  <c r="S22" i="50"/>
  <c r="AA21" i="50"/>
  <c r="AB21" i="50"/>
  <c r="AC21" i="50"/>
  <c r="AD21" i="50"/>
  <c r="R21" i="50"/>
  <c r="S21" i="50"/>
  <c r="AA20" i="50"/>
  <c r="AB20" i="50"/>
  <c r="AC20" i="50"/>
  <c r="AD20" i="50"/>
  <c r="AA19" i="50"/>
  <c r="AB19" i="50"/>
  <c r="AC19" i="50"/>
  <c r="AD19" i="50"/>
  <c r="R19" i="50"/>
  <c r="S19" i="50"/>
  <c r="AA18" i="50"/>
  <c r="AB18" i="50"/>
  <c r="AC18" i="50"/>
  <c r="AD18" i="50"/>
  <c r="R18" i="50"/>
  <c r="S18" i="50"/>
  <c r="AA17" i="50"/>
  <c r="AB17" i="50"/>
  <c r="AC17" i="50"/>
  <c r="AD17" i="50"/>
  <c r="R17" i="50"/>
  <c r="S17" i="50"/>
  <c r="AA16" i="50"/>
  <c r="AB16" i="50"/>
  <c r="AC16" i="50"/>
  <c r="AD16" i="50"/>
  <c r="R16" i="50"/>
  <c r="S16" i="50"/>
  <c r="AA15" i="50"/>
  <c r="AB15" i="50"/>
  <c r="AC15" i="50"/>
  <c r="AD15" i="50"/>
  <c r="R15" i="50"/>
  <c r="S15" i="50"/>
  <c r="AA14" i="50"/>
  <c r="AB14" i="50"/>
  <c r="AC14" i="50"/>
  <c r="AD14" i="50"/>
  <c r="R14" i="50"/>
  <c r="S14" i="50"/>
  <c r="AB13" i="50"/>
  <c r="AC13" i="50"/>
  <c r="AA13" i="50"/>
  <c r="S13" i="50"/>
  <c r="R13" i="50"/>
  <c r="AB12" i="50"/>
  <c r="AC12" i="50"/>
  <c r="AD12" i="50"/>
  <c r="AA12" i="50"/>
  <c r="S12" i="50"/>
  <c r="R12" i="50"/>
  <c r="AA11" i="50"/>
  <c r="AB11" i="50"/>
  <c r="AC11" i="50"/>
  <c r="R11" i="50"/>
  <c r="S11" i="50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3" i="35"/>
  <c r="I34" i="35"/>
  <c r="I35" i="35"/>
  <c r="I37" i="35"/>
  <c r="I38" i="35"/>
  <c r="I40" i="35"/>
  <c r="I41" i="35"/>
  <c r="I42" i="35"/>
  <c r="I43" i="35"/>
  <c r="I44" i="35"/>
  <c r="I45" i="35"/>
  <c r="I46" i="35"/>
  <c r="I9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3" i="35"/>
  <c r="G34" i="35"/>
  <c r="G35" i="35"/>
  <c r="G37" i="35"/>
  <c r="G38" i="35"/>
  <c r="G40" i="35"/>
  <c r="G41" i="35"/>
  <c r="G42" i="35"/>
  <c r="G43" i="35"/>
  <c r="G44" i="35"/>
  <c r="G45" i="35"/>
  <c r="G46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3" i="35"/>
  <c r="E34" i="35"/>
  <c r="E35" i="35"/>
  <c r="E37" i="35"/>
  <c r="E38" i="35"/>
  <c r="E40" i="35"/>
  <c r="E41" i="35"/>
  <c r="E42" i="35"/>
  <c r="E43" i="35"/>
  <c r="E44" i="35"/>
  <c r="E45" i="35"/>
  <c r="E46" i="35"/>
  <c r="E9" i="35"/>
  <c r="I3" i="35"/>
  <c r="I4" i="35"/>
  <c r="G3" i="35"/>
  <c r="G4" i="35"/>
  <c r="E3" i="35"/>
  <c r="E4" i="35"/>
  <c r="V41" i="52" l="1"/>
  <c r="W41" i="52" s="1"/>
  <c r="V42" i="52"/>
  <c r="W42" i="52" s="1"/>
  <c r="V40" i="52"/>
  <c r="W40" i="52" s="1"/>
  <c r="V43" i="52"/>
  <c r="W43" i="52" s="1"/>
</calcChain>
</file>

<file path=xl/sharedStrings.xml><?xml version="1.0" encoding="utf-8"?>
<sst xmlns="http://schemas.openxmlformats.org/spreadsheetml/2006/main" count="537" uniqueCount="207">
  <si>
    <t>Product</t>
  </si>
  <si>
    <t>Size</t>
  </si>
  <si>
    <t>Multi-Purpose Compost</t>
  </si>
  <si>
    <t>Multi-Purpose plus John Innes</t>
  </si>
  <si>
    <t>Decorative Chip Bark</t>
  </si>
  <si>
    <t>Mini Chip Bark</t>
  </si>
  <si>
    <t>Composted Bark</t>
  </si>
  <si>
    <t>4 Plant Grow Bag</t>
  </si>
  <si>
    <t>Top Soil</t>
  </si>
  <si>
    <t>Farmyard Manure</t>
  </si>
  <si>
    <t>John Innes Seed</t>
  </si>
  <si>
    <t>John Innes 1</t>
  </si>
  <si>
    <t>John Innes 2</t>
  </si>
  <si>
    <t>John Innes 3</t>
  </si>
  <si>
    <t>UPP</t>
  </si>
  <si>
    <t>Irish Moss Peat</t>
  </si>
  <si>
    <t>Multi-Purpose Compost John Innes</t>
  </si>
  <si>
    <t>Potting Compost Pro-mix (12 - 25mm)</t>
  </si>
  <si>
    <t xml:space="preserve">Potting Compost (0 - 12mm) </t>
  </si>
  <si>
    <t xml:space="preserve">Ericaceous Compost </t>
  </si>
  <si>
    <t xml:space="preserve">Muti-Purpose Compost </t>
  </si>
  <si>
    <t xml:space="preserve">Universal Potting Substrate </t>
  </si>
  <si>
    <t xml:space="preserve">Tub &amp; Basket Compost </t>
  </si>
  <si>
    <t xml:space="preserve">Rose, Tree &amp; Shrub Compost </t>
  </si>
  <si>
    <t>All Purpose Compost (Peat-reduced)</t>
  </si>
  <si>
    <t>Deepfill Planter (Peat-reduced)</t>
  </si>
  <si>
    <t xml:space="preserve">Z1 COD </t>
  </si>
  <si>
    <t xml:space="preserve">Z1 30 days </t>
  </si>
  <si>
    <t>Z1 12 Pallets</t>
  </si>
  <si>
    <t xml:space="preserve">Z2 COD </t>
  </si>
  <si>
    <t xml:space="preserve">Z2 30 days </t>
  </si>
  <si>
    <t>Z2 12 Pallets</t>
  </si>
  <si>
    <t xml:space="preserve">Z3 COD </t>
  </si>
  <si>
    <t xml:space="preserve">Z3 30 days </t>
  </si>
  <si>
    <t>Z3 12 Pallets</t>
  </si>
  <si>
    <t xml:space="preserve">Z4 COD </t>
  </si>
  <si>
    <t xml:space="preserve">Z4 30 days </t>
  </si>
  <si>
    <t>Z4 12 Pallets</t>
  </si>
  <si>
    <t>All Purpose Compost (Peat Free)</t>
  </si>
  <si>
    <t>All Purpose Compost John Innes (Peat Free)</t>
  </si>
  <si>
    <t>Fruit &amp; Veg Compost (Peat Free)</t>
  </si>
  <si>
    <t>NI 12+ Pallets</t>
  </si>
  <si>
    <t>NI 6-11 Pallets</t>
  </si>
  <si>
    <t>ROI Full Load €</t>
  </si>
  <si>
    <t>ROI Half Load €</t>
  </si>
  <si>
    <t>Greendays Blends</t>
  </si>
  <si>
    <t>Back to Nature Peat Reduced</t>
  </si>
  <si>
    <t>Evergreen Peat Free</t>
  </si>
  <si>
    <t>Evergreen Originals</t>
  </si>
  <si>
    <t>Increase</t>
  </si>
  <si>
    <t>Percentage Calculations</t>
  </si>
  <si>
    <t>Explanation:</t>
  </si>
  <si>
    <t>Let us find the percentage of 30 in 45.</t>
  </si>
  <si>
    <t>Dividing the part by whole and multiplying the result with 100 gives 30/45 × 100 = 66.67%.</t>
  </si>
  <si>
    <t>So, 30 is 66.67% of 45.</t>
  </si>
  <si>
    <t>Z2 %</t>
  </si>
  <si>
    <t>Z3 %</t>
  </si>
  <si>
    <t>Z4%</t>
  </si>
  <si>
    <t>What they are currently</t>
  </si>
  <si>
    <t>N/A</t>
  </si>
  <si>
    <t>Z1 Average Nett Final Invoice Price (ex Vat)</t>
  </si>
  <si>
    <t>Average Nett Load Price Per Zone</t>
  </si>
  <si>
    <t>Difference (Z1 haulage)</t>
  </si>
  <si>
    <t>% differnece of load</t>
  </si>
  <si>
    <t>Mica Full Load</t>
  </si>
  <si>
    <t>Aquatic Compost</t>
  </si>
  <si>
    <t>Potting Compost (Peat Free)</t>
  </si>
  <si>
    <t>Ericaceous Compost (Peat Free)</t>
  </si>
  <si>
    <t>Deepfill Tomato Planter (Peat Free)</t>
  </si>
  <si>
    <t xml:space="preserve">Multi-Purpose Compost </t>
  </si>
  <si>
    <t>Lawn Dressing</t>
  </si>
  <si>
    <t>Premium Moss Peat</t>
  </si>
  <si>
    <t>COD to 30 Days</t>
  </si>
  <si>
    <t>30 Days to 12 Pallets</t>
  </si>
  <si>
    <t>COD to 30 Days to 12 Pallet Price Increases</t>
  </si>
  <si>
    <t xml:space="preserve">All prices are subject to VAT at the current rate.  Mounty forklift service available - please check for availability and rates (location dependent). </t>
  </si>
  <si>
    <t>Late payment surcharges apply on all overdue accounts.  Fuel surcharges may apply in certain areas.  *Prices subject to change.</t>
  </si>
  <si>
    <r>
      <rPr>
        <b/>
        <sz val="10"/>
        <rFont val="Calibri"/>
        <family val="2"/>
        <scheme val="minor"/>
      </rPr>
      <t>tel</t>
    </r>
    <r>
      <rPr>
        <sz val="10"/>
        <rFont val="Calibri"/>
        <family val="2"/>
        <scheme val="minor"/>
      </rPr>
      <t xml:space="preserve">: +44 (0) 28 87740950 / </t>
    </r>
    <r>
      <rPr>
        <b/>
        <sz val="10"/>
        <rFont val="Calibri"/>
        <family val="2"/>
        <scheme val="minor"/>
      </rPr>
      <t>emai</t>
    </r>
    <r>
      <rPr>
        <sz val="10"/>
        <rFont val="Calibri"/>
        <family val="2"/>
        <scheme val="minor"/>
      </rPr>
      <t>l: sales@evergreenhorticulture.co.uk</t>
    </r>
  </si>
  <si>
    <r>
      <rPr>
        <b/>
        <sz val="10"/>
        <rFont val="Calibri"/>
        <family val="2"/>
        <scheme val="minor"/>
      </rPr>
      <t>website</t>
    </r>
    <r>
      <rPr>
        <sz val="10"/>
        <rFont val="Calibri"/>
        <family val="2"/>
        <scheme val="minor"/>
      </rPr>
      <t>: www.evergreenhorticulture.co.uk</t>
    </r>
  </si>
  <si>
    <t>IOM (Full Load)</t>
  </si>
  <si>
    <t>Mica 12 Pallets</t>
  </si>
  <si>
    <t>2023 Pricelist</t>
  </si>
  <si>
    <t>Ex-works</t>
  </si>
  <si>
    <t>Price £ GBP</t>
  </si>
  <si>
    <t>Size (Litres)</t>
  </si>
  <si>
    <t>Units Per Pallet</t>
  </si>
  <si>
    <t>Private Label, Professional Mix Substrates &amp; Bulk Pricing Available Upon Request.</t>
  </si>
  <si>
    <t>Quantity of Pallets per 40ft HC Container 20 - 22.  Products can be mixed throughout the Container.</t>
  </si>
  <si>
    <t>Quantity of Pallets per 20ft HC Container 10 - 11.  Products can be mixed throughout the Container.</t>
  </si>
  <si>
    <t>Emerald Gold All Purpose Compost</t>
  </si>
  <si>
    <t>Barcode</t>
  </si>
  <si>
    <t>Z1 COD</t>
  </si>
  <si>
    <t>LTRS</t>
  </si>
  <si>
    <t>Price $ USD</t>
  </si>
  <si>
    <t>Code</t>
  </si>
  <si>
    <t>DB75</t>
  </si>
  <si>
    <t>DB60</t>
  </si>
  <si>
    <t>MPC40</t>
  </si>
  <si>
    <t>CB60</t>
  </si>
  <si>
    <t>MPC50</t>
  </si>
  <si>
    <t>MPC60</t>
  </si>
  <si>
    <t>MPC75</t>
  </si>
  <si>
    <t>PRO60</t>
  </si>
  <si>
    <t>POT60</t>
  </si>
  <si>
    <t>Container Compost</t>
  </si>
  <si>
    <t>RTS60</t>
  </si>
  <si>
    <t>MPB60</t>
  </si>
  <si>
    <t>PFAP50</t>
  </si>
  <si>
    <t>Mature Plant Compost (Peat Free)</t>
  </si>
  <si>
    <t>PFPOT50</t>
  </si>
  <si>
    <t xml:space="preserve">Mature Plant Compost </t>
  </si>
  <si>
    <t>EC40</t>
  </si>
  <si>
    <t>EC60</t>
  </si>
  <si>
    <t>PFEC50</t>
  </si>
  <si>
    <t>tel: +44 (0) 28 87740950  |  email: sales@evergreenhorticulture.co.uk</t>
  </si>
  <si>
    <t>www.evergreenhorticulture.co.uk</t>
  </si>
  <si>
    <t>Peat Based Composts</t>
  </si>
  <si>
    <t>Peat Free Composts</t>
  </si>
  <si>
    <t>Barks &amp; Mulches</t>
  </si>
  <si>
    <t>Unit Price</t>
  </si>
  <si>
    <t>£ GBP ex VAT</t>
  </si>
  <si>
    <t>Pallet Price</t>
  </si>
  <si>
    <r>
      <rPr>
        <b/>
        <sz val="11"/>
        <rFont val="Calibri"/>
        <family val="2"/>
        <scheme val="minor"/>
      </rPr>
      <t>Delivery terms:</t>
    </r>
    <r>
      <rPr>
        <sz val="11"/>
        <rFont val="Calibri"/>
        <family val="2"/>
        <scheme val="minor"/>
      </rPr>
      <t xml:space="preserve"> All orders placed for 6 or more pallets qualify for free delivery and free mounty forklift service to one</t>
    </r>
  </si>
  <si>
    <r>
      <rPr>
        <b/>
        <sz val="11"/>
        <rFont val="Calibri"/>
        <family val="2"/>
        <scheme val="minor"/>
      </rPr>
      <t>Contact details:</t>
    </r>
    <r>
      <rPr>
        <sz val="11"/>
        <rFont val="Calibri"/>
        <family val="2"/>
        <scheme val="minor"/>
      </rPr>
      <t xml:space="preserve"> Evergreen Horticulture, 10a Ferry Road, Coalisland, Co. Tyrone, N. Ireland, BT71 4QT</t>
    </r>
  </si>
  <si>
    <t>delivery location throughout NI per order.  For orders totalling less than 6 pallets, a delivery chage of £35.00 + VAT applies.</t>
  </si>
  <si>
    <t>Container Compost (Peat Free)</t>
  </si>
  <si>
    <t>Multi-Purpose &amp; Seedling Compost</t>
  </si>
  <si>
    <t>Multi-Purpose &amp; Seedling Compost (Peat Free)</t>
  </si>
  <si>
    <t>Potting-on Compost Pro-mix (Coarse 12 - 25mm )</t>
  </si>
  <si>
    <t xml:space="preserve">Potting-on Compost (Fine 0 - 12mm) </t>
  </si>
  <si>
    <t>Potting-on Compost Fine 0-12mm (Peat Free)</t>
  </si>
  <si>
    <t>Standard Bark</t>
  </si>
  <si>
    <t>Fine Bark Mulch</t>
  </si>
  <si>
    <t>Topsoil</t>
  </si>
  <si>
    <t>Evergreen Premium Peat Free Composts</t>
  </si>
  <si>
    <t>Evergreen Peat Free Composts</t>
  </si>
  <si>
    <t>Back to Nature Peat Reduced Composts</t>
  </si>
  <si>
    <t>Greendays John Innes Range</t>
  </si>
  <si>
    <t>Premium All Purpose Compost (Peat Free)</t>
  </si>
  <si>
    <t>Premium All Purpose Compost John Innes (Peat Free)</t>
  </si>
  <si>
    <t>Premium Ericaceous Compost (Peat Free)</t>
  </si>
  <si>
    <t>Premium Seed &amp; Cutting Compost (Peat Free)</t>
  </si>
  <si>
    <t>0710497718486</t>
  </si>
  <si>
    <t>2025 Pricelist</t>
  </si>
  <si>
    <r>
      <t xml:space="preserve">Topsoil </t>
    </r>
    <r>
      <rPr>
        <b/>
        <i/>
        <sz val="10"/>
        <rFont val="Calibri"/>
        <family val="2"/>
        <scheme val="minor"/>
      </rPr>
      <t>*Flashed Value Pack</t>
    </r>
  </si>
  <si>
    <t>Rose, Tree &amp; Shrub Compost</t>
  </si>
  <si>
    <t>5023421000010</t>
  </si>
  <si>
    <r>
      <t xml:space="preserve">Tub &amp; Basket Compost </t>
    </r>
    <r>
      <rPr>
        <b/>
        <i/>
        <sz val="10"/>
        <rFont val="Calibri"/>
        <family val="2"/>
        <scheme val="minor"/>
      </rPr>
      <t>*Discontinuing - WIGIG</t>
    </r>
  </si>
  <si>
    <r>
      <t xml:space="preserve">Multi-Purpose Compost </t>
    </r>
    <r>
      <rPr>
        <b/>
        <i/>
        <sz val="10"/>
        <rFont val="Calibri"/>
        <family val="2"/>
        <scheme val="minor"/>
      </rPr>
      <t>*Flashed Buy 2 Get 3rd Free</t>
    </r>
  </si>
  <si>
    <r>
      <t xml:space="preserve">Multi-Purpose Compost </t>
    </r>
    <r>
      <rPr>
        <b/>
        <i/>
        <sz val="10"/>
        <rFont val="Calibri"/>
        <family val="2"/>
        <scheme val="minor"/>
      </rPr>
      <t>*Carry Handle</t>
    </r>
  </si>
  <si>
    <t>Full truck loads approximately 22-24 pallets (weight dependent).</t>
  </si>
  <si>
    <t>Isle of Man - 12 Pallet Plus+</t>
  </si>
  <si>
    <t>€ Euro 30 Days</t>
  </si>
  <si>
    <t>€ Euro EC</t>
  </si>
  <si>
    <t>£ GBP 30 Days</t>
  </si>
  <si>
    <t>£ GBP EC</t>
  </si>
  <si>
    <t>SKU CODE</t>
  </si>
  <si>
    <t>EOR-1001-01</t>
  </si>
  <si>
    <t>EOR-1001-02</t>
  </si>
  <si>
    <t>EOR-1001-03</t>
  </si>
  <si>
    <t>EOR-1001-04</t>
  </si>
  <si>
    <t>EOR-1001-05</t>
  </si>
  <si>
    <t>EOR-1001-06</t>
  </si>
  <si>
    <t>EOR-1001-07</t>
  </si>
  <si>
    <t>EOR-1001-08</t>
  </si>
  <si>
    <t>EOR-1001-09</t>
  </si>
  <si>
    <t>EOR-1001-10</t>
  </si>
  <si>
    <t>EOR-1001-11</t>
  </si>
  <si>
    <t>EOR-1001-12</t>
  </si>
  <si>
    <t>EOR-1001-13</t>
  </si>
  <si>
    <t>EOR-1001-14</t>
  </si>
  <si>
    <t>EOR-1001-15</t>
  </si>
  <si>
    <t>EOR-1001-16</t>
  </si>
  <si>
    <t>EOR-1001-17</t>
  </si>
  <si>
    <t>EOR-1001-18</t>
  </si>
  <si>
    <t>EOR-1001-19</t>
  </si>
  <si>
    <t>EOR-1001-20</t>
  </si>
  <si>
    <t>EOR-1001-21</t>
  </si>
  <si>
    <t>EOR-1001-22</t>
  </si>
  <si>
    <t>EOR-1001-23</t>
  </si>
  <si>
    <t>EOR-1001-24</t>
  </si>
  <si>
    <t>EOR-1001-25</t>
  </si>
  <si>
    <t>EOR-1001-26</t>
  </si>
  <si>
    <t>EOR-1001-27</t>
  </si>
  <si>
    <t>EOR-1001-28</t>
  </si>
  <si>
    <t>EPF-3001-01</t>
  </si>
  <si>
    <t>EPF-3001-02</t>
  </si>
  <si>
    <t>EPF-3001-03</t>
  </si>
  <si>
    <t>EPF-3001-04</t>
  </si>
  <si>
    <t>EPF-3001-05</t>
  </si>
  <si>
    <t>EPF-3001-06</t>
  </si>
  <si>
    <t>EPF-3001-07</t>
  </si>
  <si>
    <t>EPR-4002-01</t>
  </si>
  <si>
    <t>EPR-4002-02</t>
  </si>
  <si>
    <t>EJI-5002-01</t>
  </si>
  <si>
    <t>EJI-5002-02</t>
  </si>
  <si>
    <t>EJI-5002-03</t>
  </si>
  <si>
    <t>EJI-5002-04</t>
  </si>
  <si>
    <t>EPM-2001-01</t>
  </si>
  <si>
    <t>EPM-2001-02</t>
  </si>
  <si>
    <t>EPM-2001-03</t>
  </si>
  <si>
    <t>EPM-2001-04</t>
  </si>
  <si>
    <t>Longacres Cost Price</t>
  </si>
  <si>
    <t>£ GBP ex VAT Per Bag</t>
  </si>
  <si>
    <t>Product Description</t>
  </si>
  <si>
    <t>Ltrs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</si>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</sst>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8">
    <xf numFmtId="0" fontId="0" fillId="0" borderId="0" xfId="0"/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9" fontId="1" fillId="2" borderId="0" xfId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2" fontId="0" fillId="0" borderId="0" xfId="0" applyNumberFormat="1"/>
    <xf numFmtId="2" fontId="5" fillId="0" borderId="0" xfId="0" applyNumberFormat="1" applyFont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6" fillId="0" borderId="2" xfId="0" quotePrefix="1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left" vertical="center"/>
    </xf>
    <xf numFmtId="2" fontId="5" fillId="2" borderId="1" xfId="0" applyNumberFormat="1" applyFont="1" applyFill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1" fontId="2" fillId="0" borderId="5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6" fillId="2" borderId="1" xfId="0" applyNumberFormat="1" applyFont="1" applyFill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 vertical="center"/>
    </xf>
    <xf numFmtId="2" fontId="5" fillId="0" borderId="1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1" xfId="0" quotePrefix="1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2209800</xdr:colOff>
      <xdr:row>0</xdr:row>
      <xdr:rowOff>152399</xdr:rowOff>
    </xdr:from>
    <xdr:to>
      <xdr:col>4</xdr:col>
      <xdr:colOff>265878</xdr:colOff>
      <xdr:row>6</xdr:row>
      <xdr:rowOff>565890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55320-3333-428D-8270-A738EBA8A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152399"/>
          <a:ext cx="2551878" cy="1556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2743200</xdr:colOff>
      <xdr:row>0</xdr:row>
      <xdr:rowOff>114299</xdr:rowOff>
    </xdr:from>
    <xdr:to>
      <xdr:col>4</xdr:col>
      <xdr:colOff>652593</xdr:colOff>
      <xdr:row>6</xdr:row>
      <xdr:rowOff>527790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3CA38-938D-4C95-9D6A-E367D626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14299"/>
          <a:ext cx="2551878" cy="1556491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67</xdr:row>
      <xdr:rowOff>123826</xdr:rowOff>
    </xdr:from>
    <xdr:to>
      <xdr:col>5</xdr:col>
      <xdr:colOff>523875</xdr:colOff>
      <xdr:row>81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694669-50A2-486C-92C2-EAC359B5613C}"/>
            </a:ext>
          </a:extLst>
        </xdr:cNvPr>
        <xdr:cNvSpPr txBox="1"/>
      </xdr:nvSpPr>
      <xdr:spPr>
        <a:xfrm>
          <a:off x="142875" y="13354051"/>
          <a:ext cx="5048250" cy="2657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1" u="sng"/>
            <a:t>FORMULAS</a:t>
          </a:r>
        </a:p>
        <a:p>
          <a:r>
            <a:rPr lang="en-GB" sz="1100" i="1"/>
            <a:t>Oct 2022 price</a:t>
          </a:r>
          <a:r>
            <a:rPr lang="en-GB" sz="1100" i="1" baseline="0"/>
            <a:t> increase by 10% </a:t>
          </a:r>
          <a:r>
            <a:rPr lang="en-GB" sz="1100" b="0" i="1" baseline="0"/>
            <a:t>(*with the exception of the peat free range)</a:t>
          </a:r>
        </a:p>
        <a:p>
          <a:r>
            <a:rPr lang="en-GB" sz="1100" b="0" i="1" baseline="0"/>
            <a:t>NI 12+ Pallets = Z1 COD prices</a:t>
          </a:r>
        </a:p>
        <a:p>
          <a:r>
            <a:rPr lang="en-GB" sz="1100" b="0" i="1" baseline="0"/>
            <a:t>NI 6-11 Pallets = NI 12+ Pallets + 30 Days Pence increase</a:t>
          </a:r>
        </a:p>
        <a:p>
          <a:r>
            <a:rPr lang="en-GB" sz="1100" b="0" i="1" baseline="0"/>
            <a:t>ROI Full Load = NI 12+ Pallets x ROE (1.17)</a:t>
          </a:r>
        </a:p>
        <a:p>
          <a:r>
            <a:rPr lang="en-GB" sz="1100" b="0" i="1" baseline="0"/>
            <a:t>ROI Half Load = NI 6-11 Pallets x ROE (1.17)</a:t>
          </a:r>
        </a:p>
        <a:p>
          <a:r>
            <a:rPr lang="en-GB" sz="1100" b="0" i="1" baseline="0"/>
            <a:t>Mica Full Load =  Z2 30 days + 5%</a:t>
          </a:r>
        </a:p>
        <a:p>
          <a:r>
            <a:rPr lang="en-GB" sz="1100" b="0" i="1" baseline="0"/>
            <a:t>Mica 6-12 Pallets = Mica Full Load + 5%</a:t>
          </a:r>
        </a:p>
        <a:p>
          <a:r>
            <a:rPr lang="en-GB" sz="1100" b="0" i="1" baseline="0"/>
            <a:t>Barrowbridge = 30 Days offered on standard NI &amp; ROI pallet pricelists</a:t>
          </a:r>
        </a:p>
        <a:p>
          <a:r>
            <a:rPr lang="en-GB" sz="1100" b="0" i="1" baseline="0"/>
            <a:t>Barrowbridge - Extended Credit is equivalent to NI &amp; ROI  pallet pricelists + 10 cent</a:t>
          </a:r>
        </a:p>
        <a:p>
          <a:endParaRPr lang="en-GB" sz="1100" b="0" i="1" baseline="0"/>
        </a:p>
        <a:p>
          <a:r>
            <a:rPr lang="en-GB" sz="1100" b="1" i="1" u="sng" baseline="0"/>
            <a:t>COLUMN WIDTHS</a:t>
          </a:r>
        </a:p>
        <a:p>
          <a:r>
            <a:rPr lang="en-GB" sz="1100" b="0" i="1" baseline="0"/>
            <a:t>First Column 34.86</a:t>
          </a:r>
        </a:p>
        <a:p>
          <a:r>
            <a:rPr lang="en-GB" sz="1100" b="0" i="1" baseline="0"/>
            <a:t>All others 18.5</a:t>
          </a:r>
        </a:p>
        <a:p>
          <a:endParaRPr lang="en-GB" sz="1100" b="0" i="1" baseline="0"/>
        </a:p>
        <a:p>
          <a:r>
            <a:rPr lang="en-GB" sz="1100" b="0" i="1" baseline="0"/>
            <a:t>**Prices updated as of 31 January 2024**</a:t>
          </a:r>
        </a:p>
        <a:p>
          <a:endParaRPr lang="en-GB" sz="1100" b="0" i="1" baseline="0"/>
        </a:p>
        <a:p>
          <a:endParaRPr lang="en-GB" sz="1100" b="0" i="1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95249</xdr:rowOff>
    </xdr:from>
    <xdr:to>
      <xdr:col>5</xdr:col>
      <xdr:colOff>256353</xdr:colOff>
      <xdr:row>6</xdr:row>
      <xdr:rowOff>619124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548BE-DF23-4F11-9AB1-F759E47DA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95249"/>
          <a:ext cx="2732853" cy="1666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123824</xdr:rowOff>
    </xdr:from>
    <xdr:to>
      <xdr:col>2</xdr:col>
      <xdr:colOff>1237428</xdr:colOff>
      <xdr:row>6</xdr:row>
      <xdr:rowOff>647699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51F91-2E1D-4877-A810-76E31CFEA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23824"/>
          <a:ext cx="2732853" cy="166687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61</xdr:row>
      <xdr:rowOff>123826</xdr:rowOff>
    </xdr:from>
    <xdr:to>
      <xdr:col>3</xdr:col>
      <xdr:colOff>161925</xdr:colOff>
      <xdr:row>75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D76E86-2FC5-4A63-98BC-A8CE65BB0180}"/>
            </a:ext>
          </a:extLst>
        </xdr:cNvPr>
        <xdr:cNvSpPr txBox="1"/>
      </xdr:nvSpPr>
      <xdr:spPr>
        <a:xfrm>
          <a:off x="142875" y="10687051"/>
          <a:ext cx="5657850" cy="2657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1" u="sng"/>
            <a:t>FORMULAS</a:t>
          </a:r>
        </a:p>
        <a:p>
          <a:r>
            <a:rPr lang="en-GB" sz="1100" i="1"/>
            <a:t>Oct 2022 price</a:t>
          </a:r>
          <a:r>
            <a:rPr lang="en-GB" sz="1100" i="1" baseline="0"/>
            <a:t> increase by 10% </a:t>
          </a:r>
          <a:r>
            <a:rPr lang="en-GB" sz="1100" b="0" i="1" baseline="0"/>
            <a:t>(*with the exception of the peat free range)</a:t>
          </a:r>
        </a:p>
        <a:p>
          <a:r>
            <a:rPr lang="en-GB" sz="1100" b="0" i="1" baseline="0"/>
            <a:t>NI 12+ Pallets = Z1 COD prices</a:t>
          </a:r>
        </a:p>
        <a:p>
          <a:r>
            <a:rPr lang="en-GB" sz="1100" b="0" i="1" baseline="0"/>
            <a:t>NI 6-11 Pallets = NI 12+ Pallets + 30 Days Pence increase</a:t>
          </a:r>
        </a:p>
        <a:p>
          <a:r>
            <a:rPr lang="en-GB" sz="1100" b="0" i="1" baseline="0"/>
            <a:t>ROI Full Load = NI 12+ Pallets x ROE (1.17)</a:t>
          </a:r>
        </a:p>
        <a:p>
          <a:r>
            <a:rPr lang="en-GB" sz="1100" b="0" i="1" baseline="0"/>
            <a:t>ROI Half Load = NI 6-11 Pallets x ROE (1.17)</a:t>
          </a:r>
        </a:p>
        <a:p>
          <a:r>
            <a:rPr lang="en-GB" sz="1100" b="0" i="1" baseline="0"/>
            <a:t>Mica Full Load =  Z2 30 days + 5%</a:t>
          </a:r>
        </a:p>
        <a:p>
          <a:r>
            <a:rPr lang="en-GB" sz="1100" b="0" i="1" baseline="0"/>
            <a:t>Mica 6-12 Pallets = Mica Full Load + 5%</a:t>
          </a:r>
        </a:p>
        <a:p>
          <a:endParaRPr lang="en-GB" sz="1100" b="0" i="1" baseline="0"/>
        </a:p>
        <a:p>
          <a:r>
            <a:rPr lang="en-GB" sz="1100" b="1" i="1" u="sng" baseline="0"/>
            <a:t>COLUMN WIDTHS</a:t>
          </a:r>
        </a:p>
        <a:p>
          <a:r>
            <a:rPr lang="en-GB" sz="1100" b="0" i="1" baseline="0"/>
            <a:t>First Column 34.86</a:t>
          </a:r>
        </a:p>
        <a:p>
          <a:r>
            <a:rPr lang="en-GB" sz="1100" b="0" i="1" baseline="0"/>
            <a:t>All others 18.5</a:t>
          </a:r>
        </a:p>
        <a:p>
          <a:endParaRPr lang="en-GB" sz="1100" b="0" i="1" baseline="0"/>
        </a:p>
        <a:p>
          <a:r>
            <a:rPr lang="en-GB" sz="1100" b="0" i="1" baseline="0"/>
            <a:t>**Prices updated as of 19 October 2022**</a:t>
          </a:r>
        </a:p>
        <a:p>
          <a:endParaRPr lang="en-GB" sz="1100" b="0" i="1" baseline="0"/>
        </a:p>
        <a:p>
          <a:endParaRPr lang="en-GB" sz="1100" b="0" i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vergreenhorticulture.co.uk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evergreenhorticulture.co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evergreenhorticulture.co.uk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4643-A6EC-485E-BE01-3B4B6BC05A29}">
  <dimension ref="A7:F59"/>
  <sheetViews>
    <sheetView showGridLines="0" zoomScaleNormal="100" workbookViewId="0">
      <selection activeCell="A11" sqref="A11"/>
    </sheetView>
  </sheetViews>
  <sheetFormatPr defaultColWidth="9.109375" defaultRowHeight="15" customHeight="1" x14ac:dyDescent="0.3"/>
  <cols>
    <col min="1" max="1" width="42.44140625" style="36" customWidth="1"/>
    <col min="2" max="3" width="6.6640625" style="12" customWidth="1"/>
    <col min="4" max="4" width="11.5546875" style="12" bestFit="1" customWidth="1"/>
    <col min="5" max="5" width="14.109375" style="12" customWidth="1"/>
    <col min="6" max="6" width="18" style="12" bestFit="1" customWidth="1"/>
    <col min="7" max="7" width="9.109375" style="12" customWidth="1"/>
    <col min="8" max="16384" width="9.109375" style="12"/>
  </cols>
  <sheetData>
    <row r="7" spans="1:6" ht="54" customHeight="1" x14ac:dyDescent="0.3"/>
    <row r="8" spans="1:6" s="16" customFormat="1" ht="15" customHeight="1" x14ac:dyDescent="0.3">
      <c r="A8" s="56" t="s">
        <v>204</v>
      </c>
      <c r="B8" s="56" t="s">
        <v>205</v>
      </c>
      <c r="C8" s="56" t="s">
        <v>14</v>
      </c>
      <c r="D8" s="57" t="s">
        <v>206</v>
      </c>
      <c r="E8" s="57" t="s">
        <v>90</v>
      </c>
      <c r="F8" s="13" t="s">
        <v>202</v>
      </c>
    </row>
    <row r="9" spans="1:6" s="16" customFormat="1" ht="15" customHeight="1" x14ac:dyDescent="0.3">
      <c r="A9" s="56"/>
      <c r="B9" s="56"/>
      <c r="C9" s="56"/>
      <c r="D9" s="58"/>
      <c r="E9" s="58"/>
      <c r="F9" s="17" t="s">
        <v>203</v>
      </c>
    </row>
    <row r="10" spans="1:6" ht="15" customHeight="1" x14ac:dyDescent="0.3">
      <c r="A10" s="37" t="s">
        <v>48</v>
      </c>
      <c r="B10" s="19"/>
      <c r="C10" s="19"/>
      <c r="D10" s="19"/>
      <c r="E10" s="19"/>
      <c r="F10" s="19"/>
    </row>
    <row r="11" spans="1:6" ht="15" customHeight="1" x14ac:dyDescent="0.3">
      <c r="A11" s="38" t="s">
        <v>149</v>
      </c>
      <c r="B11" s="23">
        <v>10</v>
      </c>
      <c r="C11" s="23">
        <v>300</v>
      </c>
      <c r="D11" s="22" t="s">
        <v>157</v>
      </c>
      <c r="E11" s="33">
        <v>5023421409639</v>
      </c>
      <c r="F11" s="22">
        <v>1.44</v>
      </c>
    </row>
    <row r="12" spans="1:6" ht="15" customHeight="1" x14ac:dyDescent="0.3">
      <c r="A12" s="38" t="s">
        <v>2</v>
      </c>
      <c r="B12" s="23">
        <v>20</v>
      </c>
      <c r="C12" s="23">
        <v>175</v>
      </c>
      <c r="D12" s="22" t="s">
        <v>158</v>
      </c>
      <c r="E12" s="33">
        <v>5023421409509</v>
      </c>
      <c r="F12" s="22">
        <v>1.65</v>
      </c>
    </row>
    <row r="13" spans="1:6" ht="15" customHeight="1" x14ac:dyDescent="0.3">
      <c r="A13" s="38" t="s">
        <v>2</v>
      </c>
      <c r="B13" s="23">
        <v>40</v>
      </c>
      <c r="C13" s="23">
        <v>100</v>
      </c>
      <c r="D13" s="22" t="s">
        <v>159</v>
      </c>
      <c r="E13" s="33">
        <v>5023421409554</v>
      </c>
      <c r="F13" s="22">
        <v>2.34</v>
      </c>
    </row>
    <row r="14" spans="1:6" ht="15" customHeight="1" x14ac:dyDescent="0.3">
      <c r="A14" s="38" t="s">
        <v>69</v>
      </c>
      <c r="B14" s="23">
        <v>50</v>
      </c>
      <c r="C14" s="23">
        <v>90</v>
      </c>
      <c r="D14" s="22" t="s">
        <v>160</v>
      </c>
      <c r="E14" s="33">
        <v>604565380586</v>
      </c>
      <c r="F14" s="22">
        <v>2.44</v>
      </c>
    </row>
    <row r="15" spans="1:6" ht="15" customHeight="1" x14ac:dyDescent="0.3">
      <c r="A15" s="38" t="s">
        <v>148</v>
      </c>
      <c r="B15" s="23">
        <v>50</v>
      </c>
      <c r="C15" s="23">
        <v>90</v>
      </c>
      <c r="D15" s="22" t="s">
        <v>161</v>
      </c>
      <c r="E15" s="47">
        <v>769503877617</v>
      </c>
      <c r="F15" s="22">
        <v>2.44</v>
      </c>
    </row>
    <row r="16" spans="1:6" ht="15" customHeight="1" x14ac:dyDescent="0.3">
      <c r="A16" s="38" t="s">
        <v>2</v>
      </c>
      <c r="B16" s="23">
        <v>60</v>
      </c>
      <c r="C16" s="23">
        <v>80</v>
      </c>
      <c r="D16" s="22" t="s">
        <v>162</v>
      </c>
      <c r="E16" s="33">
        <v>5023421409684</v>
      </c>
      <c r="F16" s="22">
        <v>2.9</v>
      </c>
    </row>
    <row r="17" spans="1:6" ht="13.8" x14ac:dyDescent="0.3">
      <c r="A17" s="51" t="s">
        <v>2</v>
      </c>
      <c r="B17" s="52">
        <v>75</v>
      </c>
      <c r="C17" s="52">
        <v>57</v>
      </c>
      <c r="D17" s="53" t="s">
        <v>163</v>
      </c>
      <c r="E17" s="54">
        <v>5023421409622</v>
      </c>
      <c r="F17" s="53">
        <v>3.8</v>
      </c>
    </row>
    <row r="18" spans="1:6" ht="15" customHeight="1" x14ac:dyDescent="0.3">
      <c r="A18" s="38" t="s">
        <v>2</v>
      </c>
      <c r="B18" s="23">
        <v>100</v>
      </c>
      <c r="C18" s="23">
        <v>40</v>
      </c>
      <c r="D18" s="22" t="s">
        <v>164</v>
      </c>
      <c r="E18" s="33">
        <v>5023421000041</v>
      </c>
      <c r="F18" s="22">
        <v>5.1100000000000003</v>
      </c>
    </row>
    <row r="19" spans="1:6" ht="15" customHeight="1" x14ac:dyDescent="0.3">
      <c r="A19" s="51" t="s">
        <v>89</v>
      </c>
      <c r="B19" s="52">
        <v>50</v>
      </c>
      <c r="C19" s="52">
        <v>90</v>
      </c>
      <c r="D19" s="53" t="s">
        <v>165</v>
      </c>
      <c r="E19" s="55">
        <v>710497718462</v>
      </c>
      <c r="F19" s="53">
        <v>2.79</v>
      </c>
    </row>
    <row r="20" spans="1:6" ht="15" customHeight="1" x14ac:dyDescent="0.3">
      <c r="A20" s="38" t="s">
        <v>19</v>
      </c>
      <c r="B20" s="23">
        <v>40</v>
      </c>
      <c r="C20" s="23">
        <v>100</v>
      </c>
      <c r="D20" s="22" t="s">
        <v>166</v>
      </c>
      <c r="E20" s="34">
        <v>769503877594</v>
      </c>
      <c r="F20" s="22">
        <v>2.2200000000000002</v>
      </c>
    </row>
    <row r="21" spans="1:6" ht="15" customHeight="1" x14ac:dyDescent="0.3">
      <c r="A21" s="38" t="s">
        <v>19</v>
      </c>
      <c r="B21" s="23">
        <v>60</v>
      </c>
      <c r="C21" s="23">
        <v>80</v>
      </c>
      <c r="D21" s="22" t="s">
        <v>167</v>
      </c>
      <c r="E21" s="35">
        <v>5023421000034</v>
      </c>
      <c r="F21" s="22">
        <v>3.31</v>
      </c>
    </row>
    <row r="22" spans="1:6" ht="15" customHeight="1" x14ac:dyDescent="0.3">
      <c r="A22" s="38" t="s">
        <v>17</v>
      </c>
      <c r="B22" s="23">
        <v>60</v>
      </c>
      <c r="C22" s="23">
        <v>80</v>
      </c>
      <c r="D22" s="22" t="s">
        <v>168</v>
      </c>
      <c r="E22" s="35">
        <v>5023421482373</v>
      </c>
      <c r="F22" s="22">
        <v>3.7</v>
      </c>
    </row>
    <row r="23" spans="1:6" ht="15" customHeight="1" x14ac:dyDescent="0.3">
      <c r="A23" s="38" t="s">
        <v>18</v>
      </c>
      <c r="B23" s="23">
        <v>60</v>
      </c>
      <c r="C23" s="23">
        <v>80</v>
      </c>
      <c r="D23" s="22" t="s">
        <v>169</v>
      </c>
      <c r="E23" s="35">
        <v>769503877587</v>
      </c>
      <c r="F23" s="22">
        <v>3.31</v>
      </c>
    </row>
    <row r="24" spans="1:6" ht="15" customHeight="1" x14ac:dyDescent="0.3">
      <c r="A24" s="38" t="s">
        <v>22</v>
      </c>
      <c r="B24" s="23">
        <v>60</v>
      </c>
      <c r="C24" s="23">
        <v>80</v>
      </c>
      <c r="D24" s="22" t="s">
        <v>170</v>
      </c>
      <c r="E24" s="35">
        <v>5023421000010</v>
      </c>
      <c r="F24" s="22">
        <v>3.31</v>
      </c>
    </row>
    <row r="25" spans="1:6" ht="15" customHeight="1" x14ac:dyDescent="0.3">
      <c r="A25" s="38" t="s">
        <v>147</v>
      </c>
      <c r="B25" s="23">
        <v>75</v>
      </c>
      <c r="C25" s="23">
        <v>57</v>
      </c>
      <c r="D25" s="22" t="s">
        <v>171</v>
      </c>
      <c r="E25" s="48" t="s">
        <v>146</v>
      </c>
      <c r="F25" s="22">
        <v>4.1399999999999997</v>
      </c>
    </row>
    <row r="26" spans="1:6" ht="15" customHeight="1" x14ac:dyDescent="0.3">
      <c r="A26" s="38" t="s">
        <v>145</v>
      </c>
      <c r="B26" s="23">
        <v>60</v>
      </c>
      <c r="C26" s="23">
        <v>80</v>
      </c>
      <c r="D26" s="22" t="s">
        <v>172</v>
      </c>
      <c r="E26" s="35">
        <v>604565380593</v>
      </c>
      <c r="F26" s="22">
        <v>3.31</v>
      </c>
    </row>
    <row r="27" spans="1:6" ht="15" customHeight="1" x14ac:dyDescent="0.3">
      <c r="A27" s="38" t="s">
        <v>16</v>
      </c>
      <c r="B27" s="23">
        <v>60</v>
      </c>
      <c r="C27" s="23">
        <v>70</v>
      </c>
      <c r="D27" s="22" t="s">
        <v>173</v>
      </c>
      <c r="E27" s="35">
        <v>5023421409646</v>
      </c>
      <c r="F27" s="22">
        <v>3.16</v>
      </c>
    </row>
    <row r="28" spans="1:6" ht="15" customHeight="1" x14ac:dyDescent="0.3">
      <c r="A28" s="38" t="s">
        <v>71</v>
      </c>
      <c r="B28" s="23">
        <v>100</v>
      </c>
      <c r="C28" s="23">
        <v>40</v>
      </c>
      <c r="D28" s="22" t="s">
        <v>174</v>
      </c>
      <c r="E28" s="35">
        <v>5023421000126</v>
      </c>
      <c r="F28" s="22">
        <v>5.53</v>
      </c>
    </row>
    <row r="29" spans="1:6" ht="15" customHeight="1" x14ac:dyDescent="0.3">
      <c r="A29" s="38" t="s">
        <v>4</v>
      </c>
      <c r="B29" s="23">
        <v>75</v>
      </c>
      <c r="C29" s="23">
        <v>48</v>
      </c>
      <c r="D29" s="22" t="s">
        <v>175</v>
      </c>
      <c r="E29" s="35">
        <v>5023421409523</v>
      </c>
      <c r="F29" s="22">
        <v>5.04</v>
      </c>
    </row>
    <row r="30" spans="1:6" ht="15" customHeight="1" x14ac:dyDescent="0.3">
      <c r="A30" s="38" t="s">
        <v>4</v>
      </c>
      <c r="B30" s="23">
        <v>60</v>
      </c>
      <c r="C30" s="23">
        <v>80</v>
      </c>
      <c r="D30" s="22" t="s">
        <v>176</v>
      </c>
      <c r="E30" s="35">
        <v>725765023209</v>
      </c>
      <c r="F30" s="22">
        <v>4.0199999999999996</v>
      </c>
    </row>
    <row r="31" spans="1:6" ht="15" customHeight="1" x14ac:dyDescent="0.3">
      <c r="A31" s="38" t="s">
        <v>5</v>
      </c>
      <c r="B31" s="23">
        <v>60</v>
      </c>
      <c r="C31" s="23">
        <v>80</v>
      </c>
      <c r="D31" s="22" t="s">
        <v>177</v>
      </c>
      <c r="E31" s="35">
        <v>5023421409516</v>
      </c>
      <c r="F31" s="22">
        <v>3.72</v>
      </c>
    </row>
    <row r="32" spans="1:6" ht="15" customHeight="1" x14ac:dyDescent="0.3">
      <c r="A32" s="38" t="s">
        <v>6</v>
      </c>
      <c r="B32" s="23">
        <v>60</v>
      </c>
      <c r="C32" s="23">
        <v>70</v>
      </c>
      <c r="D32" s="22" t="s">
        <v>178</v>
      </c>
      <c r="E32" s="35">
        <v>5023421409608</v>
      </c>
      <c r="F32" s="22">
        <v>4</v>
      </c>
    </row>
    <row r="33" spans="1:6" ht="15" customHeight="1" x14ac:dyDescent="0.3">
      <c r="A33" s="51" t="s">
        <v>7</v>
      </c>
      <c r="B33" s="52">
        <v>36</v>
      </c>
      <c r="C33" s="52">
        <v>100</v>
      </c>
      <c r="D33" s="53" t="s">
        <v>179</v>
      </c>
      <c r="E33" s="55">
        <v>5023421409585</v>
      </c>
      <c r="F33" s="53">
        <v>1.86</v>
      </c>
    </row>
    <row r="34" spans="1:6" ht="15" customHeight="1" x14ac:dyDescent="0.3">
      <c r="A34" s="38" t="s">
        <v>133</v>
      </c>
      <c r="B34" s="23">
        <v>25</v>
      </c>
      <c r="C34" s="23">
        <v>70</v>
      </c>
      <c r="D34" s="22" t="s">
        <v>180</v>
      </c>
      <c r="E34" s="35">
        <v>5023421409660</v>
      </c>
      <c r="F34" s="22">
        <v>2.2400000000000002</v>
      </c>
    </row>
    <row r="35" spans="1:6" ht="15" customHeight="1" x14ac:dyDescent="0.3">
      <c r="A35" s="38" t="s">
        <v>144</v>
      </c>
      <c r="B35" s="23">
        <v>35</v>
      </c>
      <c r="C35" s="23">
        <v>65</v>
      </c>
      <c r="D35" s="22" t="s">
        <v>181</v>
      </c>
      <c r="E35" s="50" t="s">
        <v>142</v>
      </c>
      <c r="F35" s="22">
        <v>3.14</v>
      </c>
    </row>
    <row r="36" spans="1:6" ht="15" customHeight="1" x14ac:dyDescent="0.3">
      <c r="A36" s="38" t="s">
        <v>9</v>
      </c>
      <c r="B36" s="23">
        <v>40</v>
      </c>
      <c r="C36" s="23">
        <v>70</v>
      </c>
      <c r="D36" s="22" t="s">
        <v>182</v>
      </c>
      <c r="E36" s="35">
        <v>5023421409578</v>
      </c>
      <c r="F36" s="22">
        <v>2.4300000000000002</v>
      </c>
    </row>
    <row r="37" spans="1:6" ht="15" customHeight="1" x14ac:dyDescent="0.3">
      <c r="A37" s="38" t="s">
        <v>65</v>
      </c>
      <c r="B37" s="23">
        <v>20</v>
      </c>
      <c r="C37" s="23">
        <v>70</v>
      </c>
      <c r="D37" s="22" t="s">
        <v>183</v>
      </c>
      <c r="E37" s="35">
        <v>725765023216</v>
      </c>
      <c r="F37" s="22">
        <v>3.35</v>
      </c>
    </row>
    <row r="38" spans="1:6" ht="15" customHeight="1" x14ac:dyDescent="0.3">
      <c r="A38" s="38" t="s">
        <v>70</v>
      </c>
      <c r="B38" s="23">
        <v>25</v>
      </c>
      <c r="C38" s="23">
        <v>70</v>
      </c>
      <c r="D38" s="22" t="s">
        <v>184</v>
      </c>
      <c r="E38" s="35">
        <v>769503877570</v>
      </c>
      <c r="F38" s="22">
        <v>2.97</v>
      </c>
    </row>
    <row r="39" spans="1:6" ht="15" customHeight="1" x14ac:dyDescent="0.3">
      <c r="A39" s="37" t="s">
        <v>134</v>
      </c>
      <c r="B39" s="25"/>
      <c r="C39" s="25"/>
      <c r="D39" s="19"/>
      <c r="E39" s="19"/>
      <c r="F39" s="19"/>
    </row>
    <row r="40" spans="1:6" ht="15" customHeight="1" x14ac:dyDescent="0.3">
      <c r="A40" s="38" t="s">
        <v>138</v>
      </c>
      <c r="B40" s="23">
        <v>40</v>
      </c>
      <c r="C40" s="23">
        <v>85</v>
      </c>
      <c r="D40" s="22" t="s">
        <v>198</v>
      </c>
      <c r="E40" s="35">
        <v>5061050670013</v>
      </c>
      <c r="F40" s="22">
        <v>4.3499999999999996</v>
      </c>
    </row>
    <row r="41" spans="1:6" ht="15" customHeight="1" x14ac:dyDescent="0.3">
      <c r="A41" s="38" t="s">
        <v>139</v>
      </c>
      <c r="B41" s="23">
        <v>40</v>
      </c>
      <c r="C41" s="23">
        <v>85</v>
      </c>
      <c r="D41" s="22" t="s">
        <v>199</v>
      </c>
      <c r="E41" s="35">
        <v>5061050670020</v>
      </c>
      <c r="F41" s="22">
        <v>4.3499999999999996</v>
      </c>
    </row>
    <row r="42" spans="1:6" ht="15" customHeight="1" x14ac:dyDescent="0.3">
      <c r="A42" s="38" t="s">
        <v>140</v>
      </c>
      <c r="B42" s="23">
        <v>40</v>
      </c>
      <c r="C42" s="23">
        <v>85</v>
      </c>
      <c r="D42" s="22" t="s">
        <v>200</v>
      </c>
      <c r="E42" s="35">
        <v>5061050670037</v>
      </c>
      <c r="F42" s="22">
        <v>4.3499999999999996</v>
      </c>
    </row>
    <row r="43" spans="1:6" ht="15" customHeight="1" x14ac:dyDescent="0.3">
      <c r="A43" s="38" t="s">
        <v>141</v>
      </c>
      <c r="B43" s="23">
        <v>25</v>
      </c>
      <c r="C43" s="23">
        <v>75</v>
      </c>
      <c r="D43" s="22" t="s">
        <v>201</v>
      </c>
      <c r="E43" s="35">
        <v>5061050670044</v>
      </c>
      <c r="F43" s="22">
        <v>3.19</v>
      </c>
    </row>
    <row r="44" spans="1:6" ht="15" customHeight="1" x14ac:dyDescent="0.3">
      <c r="A44" s="37" t="s">
        <v>135</v>
      </c>
      <c r="B44" s="25"/>
      <c r="C44" s="25"/>
      <c r="D44" s="19"/>
      <c r="E44" s="19"/>
      <c r="F44" s="19"/>
    </row>
    <row r="45" spans="1:6" ht="15" customHeight="1" x14ac:dyDescent="0.3">
      <c r="A45" s="38" t="s">
        <v>38</v>
      </c>
      <c r="B45" s="23">
        <v>20</v>
      </c>
      <c r="C45" s="23">
        <v>140</v>
      </c>
      <c r="D45" s="22" t="s">
        <v>185</v>
      </c>
      <c r="E45" s="33">
        <v>769503877600</v>
      </c>
      <c r="F45" s="22">
        <v>2.0299999999999998</v>
      </c>
    </row>
    <row r="46" spans="1:6" ht="15" customHeight="1" x14ac:dyDescent="0.3">
      <c r="A46" s="38" t="s">
        <v>38</v>
      </c>
      <c r="B46" s="23">
        <v>50</v>
      </c>
      <c r="C46" s="23">
        <v>70</v>
      </c>
      <c r="D46" s="22" t="s">
        <v>186</v>
      </c>
      <c r="E46" s="35">
        <v>604565380609</v>
      </c>
      <c r="F46" s="22">
        <v>3.45</v>
      </c>
    </row>
    <row r="47" spans="1:6" ht="15" customHeight="1" x14ac:dyDescent="0.3">
      <c r="A47" s="38" t="s">
        <v>39</v>
      </c>
      <c r="B47" s="23">
        <v>50</v>
      </c>
      <c r="C47" s="23">
        <v>70</v>
      </c>
      <c r="D47" s="22" t="s">
        <v>187</v>
      </c>
      <c r="E47" s="35">
        <v>604565380616</v>
      </c>
      <c r="F47" s="22">
        <v>3.45</v>
      </c>
    </row>
    <row r="48" spans="1:6" ht="15" customHeight="1" x14ac:dyDescent="0.3">
      <c r="A48" s="38" t="s">
        <v>40</v>
      </c>
      <c r="B48" s="23">
        <v>50</v>
      </c>
      <c r="C48" s="23">
        <v>70</v>
      </c>
      <c r="D48" s="22" t="s">
        <v>188</v>
      </c>
      <c r="E48" s="35">
        <v>604565380623</v>
      </c>
      <c r="F48" s="22">
        <v>3.45</v>
      </c>
    </row>
    <row r="49" spans="1:6" ht="15" customHeight="1" x14ac:dyDescent="0.3">
      <c r="A49" s="38" t="s">
        <v>66</v>
      </c>
      <c r="B49" s="23">
        <v>50</v>
      </c>
      <c r="C49" s="23">
        <v>70</v>
      </c>
      <c r="D49" s="22" t="s">
        <v>189</v>
      </c>
      <c r="E49" s="35">
        <v>725765023230</v>
      </c>
      <c r="F49" s="22">
        <v>3.69</v>
      </c>
    </row>
    <row r="50" spans="1:6" ht="15" customHeight="1" x14ac:dyDescent="0.3">
      <c r="A50" s="38" t="s">
        <v>67</v>
      </c>
      <c r="B50" s="23">
        <v>50</v>
      </c>
      <c r="C50" s="23">
        <v>70</v>
      </c>
      <c r="D50" s="22" t="s">
        <v>190</v>
      </c>
      <c r="E50" s="35">
        <v>725765023223</v>
      </c>
      <c r="F50" s="22">
        <v>3.45</v>
      </c>
    </row>
    <row r="51" spans="1:6" ht="15" customHeight="1" x14ac:dyDescent="0.3">
      <c r="A51" s="38" t="s">
        <v>68</v>
      </c>
      <c r="B51" s="23">
        <v>56</v>
      </c>
      <c r="C51" s="23">
        <v>80</v>
      </c>
      <c r="D51" s="22" t="s">
        <v>191</v>
      </c>
      <c r="E51" s="35">
        <v>725765023247</v>
      </c>
      <c r="F51" s="22">
        <v>3.8</v>
      </c>
    </row>
    <row r="52" spans="1:6" ht="15" customHeight="1" x14ac:dyDescent="0.3">
      <c r="A52" s="37" t="s">
        <v>136</v>
      </c>
      <c r="B52" s="25"/>
      <c r="C52" s="25"/>
      <c r="D52" s="19"/>
      <c r="E52" s="19"/>
      <c r="F52" s="19"/>
    </row>
    <row r="53" spans="1:6" ht="15" customHeight="1" x14ac:dyDescent="0.3">
      <c r="A53" s="38" t="s">
        <v>24</v>
      </c>
      <c r="B53" s="23">
        <v>50</v>
      </c>
      <c r="C53" s="23">
        <v>80</v>
      </c>
      <c r="D53" s="22" t="s">
        <v>192</v>
      </c>
      <c r="E53" s="34">
        <v>604565380548</v>
      </c>
      <c r="F53" s="22">
        <v>3.38</v>
      </c>
    </row>
    <row r="54" spans="1:6" ht="15" customHeight="1" x14ac:dyDescent="0.3">
      <c r="A54" s="38" t="s">
        <v>25</v>
      </c>
      <c r="B54" s="23">
        <v>56</v>
      </c>
      <c r="C54" s="23">
        <v>80</v>
      </c>
      <c r="D54" s="22" t="s">
        <v>193</v>
      </c>
      <c r="E54" s="34">
        <v>604565380562</v>
      </c>
      <c r="F54" s="22">
        <v>2.97</v>
      </c>
    </row>
    <row r="55" spans="1:6" ht="15" customHeight="1" x14ac:dyDescent="0.3">
      <c r="A55" s="37" t="s">
        <v>137</v>
      </c>
      <c r="B55" s="25"/>
      <c r="C55" s="25"/>
      <c r="D55" s="19"/>
      <c r="E55" s="19"/>
      <c r="F55" s="19"/>
    </row>
    <row r="56" spans="1:6" ht="15" customHeight="1" x14ac:dyDescent="0.3">
      <c r="A56" s="38" t="s">
        <v>10</v>
      </c>
      <c r="B56" s="23">
        <v>25</v>
      </c>
      <c r="C56" s="23">
        <v>70</v>
      </c>
      <c r="D56" s="22" t="s">
        <v>194</v>
      </c>
      <c r="E56" s="34">
        <v>700461243731</v>
      </c>
      <c r="F56" s="22">
        <v>2.14</v>
      </c>
    </row>
    <row r="57" spans="1:6" ht="15" customHeight="1" x14ac:dyDescent="0.3">
      <c r="A57" s="38" t="s">
        <v>11</v>
      </c>
      <c r="B57" s="23">
        <v>25</v>
      </c>
      <c r="C57" s="23">
        <v>70</v>
      </c>
      <c r="D57" s="22" t="s">
        <v>195</v>
      </c>
      <c r="E57" s="34">
        <v>700461243748</v>
      </c>
      <c r="F57" s="22">
        <v>2.14</v>
      </c>
    </row>
    <row r="58" spans="1:6" ht="15" customHeight="1" x14ac:dyDescent="0.3">
      <c r="A58" s="38" t="s">
        <v>12</v>
      </c>
      <c r="B58" s="23">
        <v>25</v>
      </c>
      <c r="C58" s="23">
        <v>70</v>
      </c>
      <c r="D58" s="22" t="s">
        <v>196</v>
      </c>
      <c r="E58" s="34">
        <v>700461243755</v>
      </c>
      <c r="F58" s="22">
        <v>2.14</v>
      </c>
    </row>
    <row r="59" spans="1:6" ht="15" customHeight="1" x14ac:dyDescent="0.3">
      <c r="A59" s="38" t="s">
        <v>13</v>
      </c>
      <c r="B59" s="23">
        <v>25</v>
      </c>
      <c r="C59" s="23">
        <v>70</v>
      </c>
      <c r="D59" s="22" t="s">
        <v>197</v>
      </c>
      <c r="E59" s="34">
        <v>700461243762</v>
      </c>
      <c r="F59" s="22">
        <v>2.14</v>
      </c>
    </row>
  </sheetData>
  <mergeCells count="5">
    <mergeCell ref="A8:A9"/>
    <mergeCell ref="D8:D9"/>
    <mergeCell ref="B8:B9"/>
    <mergeCell ref="C8:C9"/>
    <mergeCell ref="E8:E9"/>
  </mergeCells>
  <pageMargins left="0.7" right="0.7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FAC7-E4CC-4A33-A1D4-4F3B0577DFC6}">
  <dimension ref="A7:AH66"/>
  <sheetViews>
    <sheetView showGridLines="0" tabSelected="1" zoomScaleNormal="100" workbookViewId="0">
      <selection activeCell="AE59" sqref="AE59"/>
    </sheetView>
  </sheetViews>
  <sheetFormatPr defaultColWidth="9.109375" defaultRowHeight="15" customHeight="1" x14ac:dyDescent="0.3"/>
  <cols>
    <col min="1" max="1" width="49.21875" style="36" customWidth="1"/>
    <col min="2" max="2" width="11.6640625" style="12" bestFit="1" customWidth="1"/>
    <col min="3" max="3" width="4.6640625" style="12" bestFit="1" customWidth="1"/>
    <col min="4" max="4" width="4.21875" style="12" bestFit="1" customWidth="1"/>
    <col min="5" max="5" width="14.109375" style="12" customWidth="1"/>
    <col min="6" max="6" width="13.44140625" style="12" bestFit="1" customWidth="1"/>
    <col min="7" max="7" width="17.6640625" style="12" bestFit="1" customWidth="1"/>
    <col min="8" max="19" width="11.6640625" style="12" bestFit="1" customWidth="1"/>
    <col min="20" max="20" width="11.77734375" style="12" bestFit="1" customWidth="1"/>
    <col min="21" max="21" width="12.44140625" style="12" bestFit="1" customWidth="1"/>
    <col min="22" max="22" width="12.77734375" style="12" bestFit="1" customWidth="1"/>
    <col min="23" max="23" width="13.21875" style="12" bestFit="1" customWidth="1"/>
    <col min="24" max="24" width="23" style="12" bestFit="1" customWidth="1"/>
    <col min="25" max="25" width="12.109375" style="12" bestFit="1" customWidth="1"/>
    <col min="26" max="26" width="12.88671875" style="12" bestFit="1" customWidth="1"/>
    <col min="27" max="29" width="12.44140625" style="12" bestFit="1" customWidth="1"/>
    <col min="30" max="30" width="11.77734375" style="12" bestFit="1" customWidth="1"/>
    <col min="31" max="31" width="13.21875" style="12" bestFit="1" customWidth="1"/>
    <col min="32" max="32" width="12.77734375" style="12" bestFit="1" customWidth="1"/>
    <col min="33" max="33" width="13.21875" style="12" bestFit="1" customWidth="1"/>
    <col min="34" max="34" width="12.77734375" style="12" bestFit="1" customWidth="1"/>
    <col min="35" max="35" width="9.109375" style="12" customWidth="1"/>
    <col min="36" max="16384" width="9.109375" style="12"/>
  </cols>
  <sheetData>
    <row r="7" spans="1:34" ht="54" customHeight="1" x14ac:dyDescent="0.3"/>
    <row r="8" spans="1:34" s="16" customFormat="1" ht="15" customHeight="1" x14ac:dyDescent="0.3">
      <c r="A8" s="56" t="s">
        <v>0</v>
      </c>
      <c r="B8" s="57" t="s">
        <v>156</v>
      </c>
      <c r="C8" s="56" t="s">
        <v>92</v>
      </c>
      <c r="D8" s="56" t="s">
        <v>14</v>
      </c>
      <c r="E8" s="57" t="s">
        <v>90</v>
      </c>
      <c r="F8" s="60" t="s">
        <v>72</v>
      </c>
      <c r="G8" s="59" t="s">
        <v>73</v>
      </c>
      <c r="H8" s="13" t="s">
        <v>91</v>
      </c>
      <c r="I8" s="13" t="s">
        <v>27</v>
      </c>
      <c r="J8" s="13" t="s">
        <v>28</v>
      </c>
      <c r="K8" s="13" t="s">
        <v>29</v>
      </c>
      <c r="L8" s="13" t="s">
        <v>30</v>
      </c>
      <c r="M8" s="13" t="s">
        <v>31</v>
      </c>
      <c r="N8" s="13" t="s">
        <v>32</v>
      </c>
      <c r="O8" s="13" t="s">
        <v>33</v>
      </c>
      <c r="P8" s="13" t="s">
        <v>34</v>
      </c>
      <c r="Q8" s="13" t="s">
        <v>35</v>
      </c>
      <c r="R8" s="13" t="s">
        <v>36</v>
      </c>
      <c r="S8" s="13" t="s">
        <v>37</v>
      </c>
      <c r="T8" s="14" t="s">
        <v>41</v>
      </c>
      <c r="U8" s="15" t="s">
        <v>42</v>
      </c>
      <c r="V8" s="14" t="s">
        <v>43</v>
      </c>
      <c r="W8" s="15" t="s">
        <v>44</v>
      </c>
      <c r="X8" s="15" t="s">
        <v>151</v>
      </c>
      <c r="Y8" s="14" t="s">
        <v>64</v>
      </c>
      <c r="Z8" s="15" t="s">
        <v>80</v>
      </c>
      <c r="AA8" s="15" t="s">
        <v>42</v>
      </c>
      <c r="AB8" s="15" t="s">
        <v>41</v>
      </c>
      <c r="AC8" s="15" t="s">
        <v>42</v>
      </c>
      <c r="AD8" s="15" t="s">
        <v>41</v>
      </c>
      <c r="AE8" s="15" t="s">
        <v>44</v>
      </c>
      <c r="AF8" s="15" t="s">
        <v>43</v>
      </c>
      <c r="AG8" s="15" t="s">
        <v>44</v>
      </c>
      <c r="AH8" s="15" t="s">
        <v>43</v>
      </c>
    </row>
    <row r="9" spans="1:34" s="16" customFormat="1" ht="15" customHeight="1" x14ac:dyDescent="0.3">
      <c r="A9" s="56"/>
      <c r="B9" s="58"/>
      <c r="C9" s="56"/>
      <c r="D9" s="56"/>
      <c r="E9" s="58"/>
      <c r="F9" s="60"/>
      <c r="G9" s="59"/>
      <c r="H9" s="17" t="s">
        <v>143</v>
      </c>
      <c r="I9" s="17" t="s">
        <v>143</v>
      </c>
      <c r="J9" s="17" t="s">
        <v>143</v>
      </c>
      <c r="K9" s="17" t="s">
        <v>143</v>
      </c>
      <c r="L9" s="17" t="s">
        <v>143</v>
      </c>
      <c r="M9" s="17" t="s">
        <v>143</v>
      </c>
      <c r="N9" s="17" t="s">
        <v>143</v>
      </c>
      <c r="O9" s="17" t="s">
        <v>143</v>
      </c>
      <c r="P9" s="17" t="s">
        <v>143</v>
      </c>
      <c r="Q9" s="17" t="s">
        <v>143</v>
      </c>
      <c r="R9" s="17" t="s">
        <v>143</v>
      </c>
      <c r="S9" s="17" t="s">
        <v>143</v>
      </c>
      <c r="T9" s="17" t="s">
        <v>143</v>
      </c>
      <c r="U9" s="17" t="s">
        <v>143</v>
      </c>
      <c r="V9" s="17" t="s">
        <v>143</v>
      </c>
      <c r="W9" s="17" t="s">
        <v>143</v>
      </c>
      <c r="X9" s="17" t="s">
        <v>143</v>
      </c>
      <c r="Y9" s="17" t="s">
        <v>143</v>
      </c>
      <c r="Z9" s="17" t="s">
        <v>143</v>
      </c>
      <c r="AA9" s="17" t="s">
        <v>154</v>
      </c>
      <c r="AB9" s="17" t="s">
        <v>154</v>
      </c>
      <c r="AC9" s="17" t="s">
        <v>155</v>
      </c>
      <c r="AD9" s="17" t="s">
        <v>155</v>
      </c>
      <c r="AE9" s="17" t="s">
        <v>152</v>
      </c>
      <c r="AF9" s="17" t="s">
        <v>152</v>
      </c>
      <c r="AG9" s="17" t="s">
        <v>153</v>
      </c>
      <c r="AH9" s="17" t="s">
        <v>153</v>
      </c>
    </row>
    <row r="10" spans="1:34" ht="15" customHeight="1" x14ac:dyDescent="0.3">
      <c r="A10" s="37" t="s">
        <v>48</v>
      </c>
      <c r="B10" s="19"/>
      <c r="C10" s="19"/>
      <c r="D10" s="19"/>
      <c r="E10" s="19"/>
      <c r="F10" s="20"/>
      <c r="G10" s="20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1"/>
      <c r="U10" s="21"/>
      <c r="V10" s="21"/>
      <c r="W10" s="21"/>
      <c r="X10" s="21"/>
      <c r="Y10" s="21"/>
      <c r="Z10" s="21"/>
      <c r="AA10" s="19"/>
      <c r="AB10" s="19"/>
      <c r="AC10" s="19"/>
      <c r="AD10" s="19"/>
      <c r="AE10" s="19"/>
      <c r="AF10" s="19"/>
      <c r="AG10" s="19"/>
      <c r="AH10" s="19"/>
    </row>
    <row r="11" spans="1:34" ht="15" customHeight="1" x14ac:dyDescent="0.3">
      <c r="A11" s="38" t="s">
        <v>149</v>
      </c>
      <c r="B11" s="22" t="s">
        <v>157</v>
      </c>
      <c r="C11" s="23">
        <v>10</v>
      </c>
      <c r="D11" s="23">
        <v>300</v>
      </c>
      <c r="E11" s="33">
        <v>5023421409639</v>
      </c>
      <c r="F11" s="24">
        <v>0.1</v>
      </c>
      <c r="G11" s="24">
        <v>0.05</v>
      </c>
      <c r="H11" s="22">
        <v>1.38</v>
      </c>
      <c r="I11" s="22">
        <v>1.48</v>
      </c>
      <c r="J11" s="22">
        <v>1.53</v>
      </c>
      <c r="K11" s="22">
        <v>1.44</v>
      </c>
      <c r="L11" s="22">
        <v>1.54</v>
      </c>
      <c r="M11" s="22">
        <v>1.59</v>
      </c>
      <c r="N11" s="22">
        <v>1.49</v>
      </c>
      <c r="O11" s="22">
        <v>1.59</v>
      </c>
      <c r="P11" s="22">
        <v>1.64</v>
      </c>
      <c r="Q11" s="22">
        <v>1.58</v>
      </c>
      <c r="R11" s="22">
        <v>1.68</v>
      </c>
      <c r="S11" s="22">
        <v>1.73</v>
      </c>
      <c r="T11" s="22">
        <f>SUM(H11)</f>
        <v>1.38</v>
      </c>
      <c r="U11" s="22">
        <f>SUM(T11+F11)</f>
        <v>1.48</v>
      </c>
      <c r="V11" s="22">
        <v>1.62</v>
      </c>
      <c r="W11" s="22">
        <v>1.74</v>
      </c>
      <c r="X11" s="22">
        <v>1.6</v>
      </c>
      <c r="Y11" s="22">
        <v>1.63</v>
      </c>
      <c r="Z11" s="22">
        <v>1.71</v>
      </c>
      <c r="AA11" s="22">
        <v>1.48</v>
      </c>
      <c r="AB11" s="22">
        <v>1.38</v>
      </c>
      <c r="AC11" s="22">
        <v>1.58</v>
      </c>
      <c r="AD11" s="22">
        <v>1.48</v>
      </c>
      <c r="AE11" s="22">
        <v>1.74</v>
      </c>
      <c r="AF11" s="22">
        <v>1.62</v>
      </c>
      <c r="AG11" s="22">
        <v>1.84</v>
      </c>
      <c r="AH11" s="22">
        <v>1.7200000000000002</v>
      </c>
    </row>
    <row r="12" spans="1:34" ht="15" customHeight="1" x14ac:dyDescent="0.3">
      <c r="A12" s="38" t="s">
        <v>2</v>
      </c>
      <c r="B12" s="22" t="s">
        <v>158</v>
      </c>
      <c r="C12" s="23">
        <v>20</v>
      </c>
      <c r="D12" s="23">
        <v>175</v>
      </c>
      <c r="E12" s="33">
        <v>5023421409509</v>
      </c>
      <c r="F12" s="24">
        <v>0.1</v>
      </c>
      <c r="G12" s="24">
        <v>0.05</v>
      </c>
      <c r="H12" s="22">
        <v>1.58</v>
      </c>
      <c r="I12" s="22">
        <v>1.68</v>
      </c>
      <c r="J12" s="22">
        <v>1.73</v>
      </c>
      <c r="K12" s="22">
        <v>1.65</v>
      </c>
      <c r="L12" s="22">
        <v>1.75</v>
      </c>
      <c r="M12" s="22">
        <v>1.8</v>
      </c>
      <c r="N12" s="22">
        <v>1.71</v>
      </c>
      <c r="O12" s="22">
        <v>1.81</v>
      </c>
      <c r="P12" s="22">
        <v>1.86</v>
      </c>
      <c r="Q12" s="22">
        <v>1.81</v>
      </c>
      <c r="R12" s="22">
        <v>1.91</v>
      </c>
      <c r="S12" s="22">
        <v>1.96</v>
      </c>
      <c r="T12" s="22">
        <f t="shared" ref="T12:T59" si="0">SUM(H12)</f>
        <v>1.58</v>
      </c>
      <c r="U12" s="22">
        <f t="shared" ref="U12:U59" si="1">SUM(T12+F12)</f>
        <v>1.6800000000000002</v>
      </c>
      <c r="V12" s="22">
        <v>1.85</v>
      </c>
      <c r="W12" s="22">
        <v>1.97</v>
      </c>
      <c r="X12" s="22">
        <v>1.97</v>
      </c>
      <c r="Y12" s="22">
        <v>1.85</v>
      </c>
      <c r="Z12" s="22">
        <v>1.94</v>
      </c>
      <c r="AA12" s="22">
        <v>1.6800000000000002</v>
      </c>
      <c r="AB12" s="22">
        <v>1.58</v>
      </c>
      <c r="AC12" s="22">
        <v>1.7800000000000002</v>
      </c>
      <c r="AD12" s="22">
        <v>1.6800000000000002</v>
      </c>
      <c r="AE12" s="22">
        <v>1.97</v>
      </c>
      <c r="AF12" s="22">
        <v>1.85</v>
      </c>
      <c r="AG12" s="22">
        <v>2.0699999999999998</v>
      </c>
      <c r="AH12" s="22">
        <v>1.9500000000000002</v>
      </c>
    </row>
    <row r="13" spans="1:34" ht="15" customHeight="1" x14ac:dyDescent="0.3">
      <c r="A13" s="38" t="s">
        <v>2</v>
      </c>
      <c r="B13" s="22" t="s">
        <v>159</v>
      </c>
      <c r="C13" s="23">
        <v>40</v>
      </c>
      <c r="D13" s="23">
        <v>100</v>
      </c>
      <c r="E13" s="33">
        <v>5023421409554</v>
      </c>
      <c r="F13" s="24">
        <v>0.1</v>
      </c>
      <c r="G13" s="24">
        <v>0.05</v>
      </c>
      <c r="H13" s="22">
        <v>2.25</v>
      </c>
      <c r="I13" s="22">
        <v>2.35</v>
      </c>
      <c r="J13" s="22">
        <v>2.4</v>
      </c>
      <c r="K13" s="22">
        <v>2.34</v>
      </c>
      <c r="L13" s="22">
        <v>2.44</v>
      </c>
      <c r="M13" s="22">
        <v>2.4900000000000002</v>
      </c>
      <c r="N13" s="22">
        <v>2.4300000000000002</v>
      </c>
      <c r="O13" s="22">
        <v>2.5299999999999998</v>
      </c>
      <c r="P13" s="22">
        <v>2.58</v>
      </c>
      <c r="Q13" s="22">
        <v>2.56</v>
      </c>
      <c r="R13" s="22">
        <v>2.66</v>
      </c>
      <c r="S13" s="22">
        <v>2.71</v>
      </c>
      <c r="T13" s="22">
        <f t="shared" si="0"/>
        <v>2.25</v>
      </c>
      <c r="U13" s="22">
        <f t="shared" si="1"/>
        <v>2.35</v>
      </c>
      <c r="V13" s="22">
        <v>2.63</v>
      </c>
      <c r="W13" s="22">
        <v>2.75</v>
      </c>
      <c r="X13" s="22">
        <v>2.91</v>
      </c>
      <c r="Y13" s="22">
        <v>2.58</v>
      </c>
      <c r="Z13" s="22">
        <v>2.71</v>
      </c>
      <c r="AA13" s="22">
        <v>2.35</v>
      </c>
      <c r="AB13" s="22">
        <v>2.25</v>
      </c>
      <c r="AC13" s="22">
        <v>2.4500000000000002</v>
      </c>
      <c r="AD13" s="22">
        <v>2.35</v>
      </c>
      <c r="AE13" s="22">
        <v>2.75</v>
      </c>
      <c r="AF13" s="22">
        <v>2.63</v>
      </c>
      <c r="AG13" s="22">
        <v>2.85</v>
      </c>
      <c r="AH13" s="22">
        <v>2.73</v>
      </c>
    </row>
    <row r="14" spans="1:34" ht="15" customHeight="1" x14ac:dyDescent="0.3">
      <c r="A14" s="38" t="s">
        <v>69</v>
      </c>
      <c r="B14" s="22" t="s">
        <v>160</v>
      </c>
      <c r="C14" s="23">
        <v>50</v>
      </c>
      <c r="D14" s="23">
        <v>90</v>
      </c>
      <c r="E14" s="33">
        <v>604565380586</v>
      </c>
      <c r="F14" s="24">
        <v>0.1</v>
      </c>
      <c r="G14" s="24">
        <v>0.05</v>
      </c>
      <c r="H14" s="22">
        <v>2.34</v>
      </c>
      <c r="I14" s="22">
        <v>2.44</v>
      </c>
      <c r="J14" s="22">
        <v>2.4900000000000002</v>
      </c>
      <c r="K14" s="22">
        <v>2.44</v>
      </c>
      <c r="L14" s="22">
        <v>2.54</v>
      </c>
      <c r="M14" s="22">
        <v>2.59</v>
      </c>
      <c r="N14" s="22">
        <v>2.52</v>
      </c>
      <c r="O14" s="22">
        <v>2.62</v>
      </c>
      <c r="P14" s="22">
        <v>2.67</v>
      </c>
      <c r="Q14" s="22">
        <v>2.67</v>
      </c>
      <c r="R14" s="22">
        <v>2.77</v>
      </c>
      <c r="S14" s="22">
        <v>2.82</v>
      </c>
      <c r="T14" s="22">
        <f t="shared" si="0"/>
        <v>2.34</v>
      </c>
      <c r="U14" s="22">
        <f t="shared" si="1"/>
        <v>2.44</v>
      </c>
      <c r="V14" s="22">
        <v>2.74</v>
      </c>
      <c r="W14" s="22">
        <v>2.85</v>
      </c>
      <c r="X14" s="22">
        <v>3.03</v>
      </c>
      <c r="Y14" s="22">
        <v>2.67</v>
      </c>
      <c r="Z14" s="22">
        <v>2.81</v>
      </c>
      <c r="AA14" s="22">
        <v>2.44</v>
      </c>
      <c r="AB14" s="22">
        <v>2.34</v>
      </c>
      <c r="AC14" s="22">
        <v>2.54</v>
      </c>
      <c r="AD14" s="22">
        <v>2.44</v>
      </c>
      <c r="AE14" s="22">
        <v>2.85</v>
      </c>
      <c r="AF14" s="22">
        <v>2.74</v>
      </c>
      <c r="AG14" s="22">
        <v>2.95</v>
      </c>
      <c r="AH14" s="22">
        <v>2.8400000000000003</v>
      </c>
    </row>
    <row r="15" spans="1:34" ht="15" customHeight="1" x14ac:dyDescent="0.3">
      <c r="A15" s="38" t="s">
        <v>148</v>
      </c>
      <c r="B15" s="22" t="s">
        <v>161</v>
      </c>
      <c r="C15" s="23">
        <v>50</v>
      </c>
      <c r="D15" s="23">
        <v>90</v>
      </c>
      <c r="E15" s="47">
        <v>769503877617</v>
      </c>
      <c r="F15" s="24">
        <v>0.1</v>
      </c>
      <c r="G15" s="24">
        <v>0.05</v>
      </c>
      <c r="H15" s="22">
        <v>2.34</v>
      </c>
      <c r="I15" s="22">
        <v>2.44</v>
      </c>
      <c r="J15" s="22">
        <v>2.4900000000000002</v>
      </c>
      <c r="K15" s="22">
        <v>2.44</v>
      </c>
      <c r="L15" s="22">
        <v>2.54</v>
      </c>
      <c r="M15" s="22">
        <v>2.59</v>
      </c>
      <c r="N15" s="22">
        <v>2.52</v>
      </c>
      <c r="O15" s="22">
        <v>2.62</v>
      </c>
      <c r="P15" s="22">
        <v>2.67</v>
      </c>
      <c r="Q15" s="22">
        <v>2.67</v>
      </c>
      <c r="R15" s="22">
        <v>2.77</v>
      </c>
      <c r="S15" s="22">
        <v>2.82</v>
      </c>
      <c r="T15" s="22">
        <f t="shared" si="0"/>
        <v>2.34</v>
      </c>
      <c r="U15" s="22">
        <f t="shared" si="1"/>
        <v>2.44</v>
      </c>
      <c r="V15" s="22">
        <v>2.74</v>
      </c>
      <c r="W15" s="22">
        <v>2.85</v>
      </c>
      <c r="X15" s="22">
        <v>3.03</v>
      </c>
      <c r="Y15" s="22">
        <v>2.67</v>
      </c>
      <c r="Z15" s="22">
        <v>2.81</v>
      </c>
      <c r="AA15" s="22">
        <v>2.44</v>
      </c>
      <c r="AB15" s="22">
        <v>2.34</v>
      </c>
      <c r="AC15" s="22">
        <v>2.54</v>
      </c>
      <c r="AD15" s="22">
        <v>2.44</v>
      </c>
      <c r="AE15" s="22">
        <v>2.85</v>
      </c>
      <c r="AF15" s="22">
        <v>2.74</v>
      </c>
      <c r="AG15" s="22">
        <v>2.95</v>
      </c>
      <c r="AH15" s="22">
        <v>2.8400000000000003</v>
      </c>
    </row>
    <row r="16" spans="1:34" ht="15" customHeight="1" x14ac:dyDescent="0.3">
      <c r="A16" s="38" t="s">
        <v>2</v>
      </c>
      <c r="B16" s="22" t="s">
        <v>162</v>
      </c>
      <c r="C16" s="23">
        <v>60</v>
      </c>
      <c r="D16" s="23">
        <v>80</v>
      </c>
      <c r="E16" s="33">
        <v>5023421409684</v>
      </c>
      <c r="F16" s="24">
        <v>0.05</v>
      </c>
      <c r="G16" s="24">
        <v>0.05</v>
      </c>
      <c r="H16" s="22">
        <v>2.78</v>
      </c>
      <c r="I16" s="22">
        <v>2.83</v>
      </c>
      <c r="J16" s="22">
        <v>2.88</v>
      </c>
      <c r="K16" s="22">
        <v>2.9</v>
      </c>
      <c r="L16" s="22">
        <v>2.95</v>
      </c>
      <c r="M16" s="22">
        <v>3</v>
      </c>
      <c r="N16" s="22">
        <v>3</v>
      </c>
      <c r="O16" s="22">
        <v>3.05</v>
      </c>
      <c r="P16" s="22">
        <v>3.1</v>
      </c>
      <c r="Q16" s="22">
        <v>3.17</v>
      </c>
      <c r="R16" s="22">
        <v>3.22</v>
      </c>
      <c r="S16" s="22">
        <v>3.27</v>
      </c>
      <c r="T16" s="22">
        <f t="shared" si="0"/>
        <v>2.78</v>
      </c>
      <c r="U16" s="22">
        <f t="shared" si="1"/>
        <v>2.8299999999999996</v>
      </c>
      <c r="V16" s="22">
        <v>3.26</v>
      </c>
      <c r="W16" s="22">
        <v>3.31</v>
      </c>
      <c r="X16" s="22">
        <v>3.56</v>
      </c>
      <c r="Y16" s="22">
        <v>3.1</v>
      </c>
      <c r="Z16" s="22">
        <v>3.25</v>
      </c>
      <c r="AA16" s="22">
        <v>2.8299999999999996</v>
      </c>
      <c r="AB16" s="22">
        <v>2.78</v>
      </c>
      <c r="AC16" s="22">
        <v>2.9299999999999997</v>
      </c>
      <c r="AD16" s="22">
        <v>2.88</v>
      </c>
      <c r="AE16" s="22">
        <v>3.31</v>
      </c>
      <c r="AF16" s="22">
        <v>3.26</v>
      </c>
      <c r="AG16" s="22">
        <v>3.41</v>
      </c>
      <c r="AH16" s="22">
        <v>3.36</v>
      </c>
    </row>
    <row r="17" spans="1:34" ht="13.8" x14ac:dyDescent="0.3">
      <c r="A17" s="38" t="s">
        <v>2</v>
      </c>
      <c r="B17" s="22" t="s">
        <v>163</v>
      </c>
      <c r="C17" s="23">
        <v>75</v>
      </c>
      <c r="D17" s="23">
        <v>57</v>
      </c>
      <c r="E17" s="33">
        <v>5023421409622</v>
      </c>
      <c r="F17" s="24">
        <v>0.05</v>
      </c>
      <c r="G17" s="24">
        <v>0.05</v>
      </c>
      <c r="H17" s="22">
        <v>3.65</v>
      </c>
      <c r="I17" s="22">
        <v>3.7</v>
      </c>
      <c r="J17" s="22">
        <v>3.75</v>
      </c>
      <c r="K17" s="22">
        <v>3.8</v>
      </c>
      <c r="L17" s="22">
        <v>3.85</v>
      </c>
      <c r="M17" s="22">
        <v>3.9</v>
      </c>
      <c r="N17" s="22">
        <v>3.94</v>
      </c>
      <c r="O17" s="22">
        <v>3.99</v>
      </c>
      <c r="P17" s="22">
        <v>4.04</v>
      </c>
      <c r="Q17" s="22">
        <v>4.16</v>
      </c>
      <c r="R17" s="22">
        <v>4.21</v>
      </c>
      <c r="S17" s="22">
        <v>4.26</v>
      </c>
      <c r="T17" s="22">
        <f t="shared" si="0"/>
        <v>3.65</v>
      </c>
      <c r="U17" s="22">
        <f t="shared" si="1"/>
        <v>3.6999999999999997</v>
      </c>
      <c r="V17" s="22">
        <v>4.2699999999999996</v>
      </c>
      <c r="W17" s="22">
        <v>4.33</v>
      </c>
      <c r="X17" s="22">
        <v>4.82</v>
      </c>
      <c r="Y17" s="22">
        <v>4.04</v>
      </c>
      <c r="Z17" s="22">
        <v>4.24</v>
      </c>
      <c r="AA17" s="22">
        <v>3.6999999999999997</v>
      </c>
      <c r="AB17" s="22">
        <v>3.65</v>
      </c>
      <c r="AC17" s="22">
        <v>3.8</v>
      </c>
      <c r="AD17" s="22">
        <v>3.75</v>
      </c>
      <c r="AE17" s="22">
        <v>4.33</v>
      </c>
      <c r="AF17" s="22">
        <v>4.2699999999999996</v>
      </c>
      <c r="AG17" s="22">
        <v>4.43</v>
      </c>
      <c r="AH17" s="22">
        <v>4.3699999999999992</v>
      </c>
    </row>
    <row r="18" spans="1:34" ht="15" customHeight="1" x14ac:dyDescent="0.3">
      <c r="A18" s="38" t="s">
        <v>2</v>
      </c>
      <c r="B18" s="22" t="s">
        <v>164</v>
      </c>
      <c r="C18" s="23">
        <v>100</v>
      </c>
      <c r="D18" s="23">
        <v>40</v>
      </c>
      <c r="E18" s="33">
        <v>5023421000041</v>
      </c>
      <c r="F18" s="24">
        <v>0.1</v>
      </c>
      <c r="G18" s="24">
        <v>0.1</v>
      </c>
      <c r="H18" s="22">
        <v>4.91</v>
      </c>
      <c r="I18" s="22">
        <v>5.01</v>
      </c>
      <c r="J18" s="22">
        <v>5.1100000000000003</v>
      </c>
      <c r="K18" s="22">
        <v>5.1100000000000003</v>
      </c>
      <c r="L18" s="22">
        <v>5.21</v>
      </c>
      <c r="M18" s="22">
        <v>5.31</v>
      </c>
      <c r="N18" s="22">
        <v>5.3</v>
      </c>
      <c r="O18" s="22">
        <v>5.4</v>
      </c>
      <c r="P18" s="22">
        <v>5.5</v>
      </c>
      <c r="Q18" s="22">
        <v>5.6</v>
      </c>
      <c r="R18" s="22">
        <v>5.7</v>
      </c>
      <c r="S18" s="22">
        <v>5.8</v>
      </c>
      <c r="T18" s="22">
        <f t="shared" si="0"/>
        <v>4.91</v>
      </c>
      <c r="U18" s="22">
        <f t="shared" si="1"/>
        <v>5.01</v>
      </c>
      <c r="V18" s="22">
        <v>5.75</v>
      </c>
      <c r="W18" s="22">
        <v>5.86</v>
      </c>
      <c r="X18" s="22">
        <v>6.38</v>
      </c>
      <c r="Y18" s="22">
        <v>5.48</v>
      </c>
      <c r="Z18" s="22">
        <v>5.76</v>
      </c>
      <c r="AA18" s="22">
        <v>5.01</v>
      </c>
      <c r="AB18" s="22">
        <v>4.91</v>
      </c>
      <c r="AC18" s="22">
        <v>5.1099999999999994</v>
      </c>
      <c r="AD18" s="22">
        <v>5.01</v>
      </c>
      <c r="AE18" s="22">
        <v>5.86</v>
      </c>
      <c r="AF18" s="22">
        <v>5.75</v>
      </c>
      <c r="AG18" s="22">
        <v>5.96</v>
      </c>
      <c r="AH18" s="22">
        <v>5.85</v>
      </c>
    </row>
    <row r="19" spans="1:34" ht="15" customHeight="1" x14ac:dyDescent="0.3">
      <c r="A19" s="38" t="s">
        <v>89</v>
      </c>
      <c r="B19" s="22" t="s">
        <v>165</v>
      </c>
      <c r="C19" s="23">
        <v>50</v>
      </c>
      <c r="D19" s="23">
        <v>90</v>
      </c>
      <c r="E19" s="35">
        <v>710497718462</v>
      </c>
      <c r="F19" s="24">
        <v>0.1</v>
      </c>
      <c r="G19" s="24">
        <v>0.05</v>
      </c>
      <c r="H19" s="22">
        <v>2.69</v>
      </c>
      <c r="I19" s="22">
        <v>2.79</v>
      </c>
      <c r="J19" s="22">
        <v>2.84</v>
      </c>
      <c r="K19" s="22">
        <v>2.79</v>
      </c>
      <c r="L19" s="22">
        <v>2.89</v>
      </c>
      <c r="M19" s="22">
        <v>2.94</v>
      </c>
      <c r="N19" s="22">
        <v>3.02</v>
      </c>
      <c r="O19" s="22">
        <v>3.12</v>
      </c>
      <c r="P19" s="22">
        <v>3.17</v>
      </c>
      <c r="Q19" s="22">
        <v>3.17</v>
      </c>
      <c r="R19" s="22">
        <v>3.27</v>
      </c>
      <c r="S19" s="22">
        <v>3.32</v>
      </c>
      <c r="T19" s="22">
        <v>2.79</v>
      </c>
      <c r="U19" s="22">
        <v>2.89</v>
      </c>
      <c r="V19" s="22">
        <v>3.26</v>
      </c>
      <c r="W19" s="22">
        <v>3.36</v>
      </c>
      <c r="X19" s="22">
        <v>3.39</v>
      </c>
      <c r="Y19" s="22">
        <v>3.04</v>
      </c>
      <c r="Z19" s="22">
        <v>3.19</v>
      </c>
      <c r="AA19" s="22">
        <v>2.89</v>
      </c>
      <c r="AB19" s="22">
        <v>2.79</v>
      </c>
      <c r="AC19" s="22">
        <v>2.99</v>
      </c>
      <c r="AD19" s="22">
        <v>2.89</v>
      </c>
      <c r="AE19" s="22">
        <v>3.36</v>
      </c>
      <c r="AF19" s="22">
        <v>3.26</v>
      </c>
      <c r="AG19" s="22">
        <v>3.46</v>
      </c>
      <c r="AH19" s="22">
        <v>3.36</v>
      </c>
    </row>
    <row r="20" spans="1:34" ht="15" customHeight="1" x14ac:dyDescent="0.3">
      <c r="A20" s="38" t="s">
        <v>19</v>
      </c>
      <c r="B20" s="22" t="s">
        <v>166</v>
      </c>
      <c r="C20" s="23">
        <v>40</v>
      </c>
      <c r="D20" s="23">
        <v>100</v>
      </c>
      <c r="E20" s="34">
        <v>769503877594</v>
      </c>
      <c r="F20" s="24">
        <v>0.05</v>
      </c>
      <c r="G20" s="24">
        <v>0.05</v>
      </c>
      <c r="H20" s="22">
        <v>2.11</v>
      </c>
      <c r="I20" s="22">
        <v>2.16</v>
      </c>
      <c r="J20" s="22">
        <v>2.21</v>
      </c>
      <c r="K20" s="22">
        <v>2.2200000000000002</v>
      </c>
      <c r="L20" s="22">
        <v>2.27</v>
      </c>
      <c r="M20" s="22">
        <v>2.3199999999999998</v>
      </c>
      <c r="N20" s="22">
        <v>2.33</v>
      </c>
      <c r="O20" s="22">
        <v>2.38</v>
      </c>
      <c r="P20" s="22">
        <v>2.4300000000000002</v>
      </c>
      <c r="Q20" s="22">
        <v>2.4500000000000002</v>
      </c>
      <c r="R20" s="22">
        <v>2.5</v>
      </c>
      <c r="S20" s="22">
        <v>2.5499999999999998</v>
      </c>
      <c r="T20" s="22">
        <f t="shared" si="0"/>
        <v>2.11</v>
      </c>
      <c r="U20" s="22">
        <f t="shared" si="1"/>
        <v>2.1599999999999997</v>
      </c>
      <c r="V20" s="22">
        <v>2.4700000000000002</v>
      </c>
      <c r="W20" s="22">
        <v>2.5299999999999998</v>
      </c>
      <c r="X20" s="22">
        <v>3.05</v>
      </c>
      <c r="Y20" s="22">
        <v>2.39</v>
      </c>
      <c r="Z20" s="22">
        <v>2.5099999999999998</v>
      </c>
      <c r="AA20" s="22">
        <v>2.1599999999999997</v>
      </c>
      <c r="AB20" s="22">
        <v>2.11</v>
      </c>
      <c r="AC20" s="22">
        <v>2.2599999999999998</v>
      </c>
      <c r="AD20" s="22">
        <v>2.21</v>
      </c>
      <c r="AE20" s="22">
        <v>2.5299999999999998</v>
      </c>
      <c r="AF20" s="22">
        <v>2.4700000000000002</v>
      </c>
      <c r="AG20" s="22">
        <v>2.63</v>
      </c>
      <c r="AH20" s="22">
        <v>2.5700000000000003</v>
      </c>
    </row>
    <row r="21" spans="1:34" ht="15" customHeight="1" x14ac:dyDescent="0.3">
      <c r="A21" s="38" t="s">
        <v>19</v>
      </c>
      <c r="B21" s="22" t="s">
        <v>167</v>
      </c>
      <c r="C21" s="23">
        <v>60</v>
      </c>
      <c r="D21" s="23">
        <v>80</v>
      </c>
      <c r="E21" s="35">
        <v>5023421000034</v>
      </c>
      <c r="F21" s="24">
        <v>0.05</v>
      </c>
      <c r="G21" s="24">
        <v>0.05</v>
      </c>
      <c r="H21" s="22">
        <v>3.18</v>
      </c>
      <c r="I21" s="22">
        <v>3.23</v>
      </c>
      <c r="J21" s="22">
        <v>3.28</v>
      </c>
      <c r="K21" s="22">
        <v>3.31</v>
      </c>
      <c r="L21" s="22">
        <v>3.36</v>
      </c>
      <c r="M21" s="22">
        <v>3.41</v>
      </c>
      <c r="N21" s="22">
        <v>3.44</v>
      </c>
      <c r="O21" s="22">
        <v>3.49</v>
      </c>
      <c r="P21" s="22">
        <v>3.54</v>
      </c>
      <c r="Q21" s="22">
        <v>3.63</v>
      </c>
      <c r="R21" s="22">
        <v>3.68</v>
      </c>
      <c r="S21" s="22">
        <v>3.73</v>
      </c>
      <c r="T21" s="22">
        <f t="shared" si="0"/>
        <v>3.18</v>
      </c>
      <c r="U21" s="22">
        <f t="shared" si="1"/>
        <v>3.23</v>
      </c>
      <c r="V21" s="22">
        <v>3.72</v>
      </c>
      <c r="W21" s="22">
        <v>3.78</v>
      </c>
      <c r="X21" s="22">
        <v>4.57</v>
      </c>
      <c r="Y21" s="22">
        <v>3.53</v>
      </c>
      <c r="Z21" s="22">
        <v>3.71</v>
      </c>
      <c r="AA21" s="22">
        <v>3.23</v>
      </c>
      <c r="AB21" s="22">
        <v>3.18</v>
      </c>
      <c r="AC21" s="22">
        <v>3.33</v>
      </c>
      <c r="AD21" s="22">
        <v>3.2800000000000002</v>
      </c>
      <c r="AE21" s="22">
        <v>3.78</v>
      </c>
      <c r="AF21" s="22">
        <v>3.72</v>
      </c>
      <c r="AG21" s="22">
        <v>3.88</v>
      </c>
      <c r="AH21" s="22">
        <v>3.8200000000000003</v>
      </c>
    </row>
    <row r="22" spans="1:34" ht="15" customHeight="1" x14ac:dyDescent="0.3">
      <c r="A22" s="38" t="s">
        <v>17</v>
      </c>
      <c r="B22" s="22" t="s">
        <v>168</v>
      </c>
      <c r="C22" s="23">
        <v>60</v>
      </c>
      <c r="D22" s="23">
        <v>80</v>
      </c>
      <c r="E22" s="35">
        <v>5023421482373</v>
      </c>
      <c r="F22" s="24">
        <v>0.05</v>
      </c>
      <c r="G22" s="24">
        <v>0.05</v>
      </c>
      <c r="H22" s="22">
        <v>3.56</v>
      </c>
      <c r="I22" s="22">
        <v>3.6</v>
      </c>
      <c r="J22" s="22">
        <v>3.64</v>
      </c>
      <c r="K22" s="22">
        <v>3.7</v>
      </c>
      <c r="L22" s="22">
        <v>3.74</v>
      </c>
      <c r="M22" s="22">
        <v>3.78</v>
      </c>
      <c r="N22" s="22">
        <v>3.84</v>
      </c>
      <c r="O22" s="22">
        <v>3.88</v>
      </c>
      <c r="P22" s="22">
        <v>3.92</v>
      </c>
      <c r="Q22" s="22">
        <v>4.0599999999999996</v>
      </c>
      <c r="R22" s="22">
        <v>4.0999999999999996</v>
      </c>
      <c r="S22" s="22">
        <v>4.1399999999999997</v>
      </c>
      <c r="T22" s="22">
        <f t="shared" si="0"/>
        <v>3.56</v>
      </c>
      <c r="U22" s="22">
        <f t="shared" si="1"/>
        <v>3.61</v>
      </c>
      <c r="V22" s="22">
        <v>4.16</v>
      </c>
      <c r="W22" s="22">
        <v>4.21</v>
      </c>
      <c r="X22" s="22">
        <v>4.46</v>
      </c>
      <c r="Y22" s="22">
        <v>3.93</v>
      </c>
      <c r="Z22" s="22">
        <v>4.13</v>
      </c>
      <c r="AA22" s="22">
        <v>3.61</v>
      </c>
      <c r="AB22" s="22">
        <v>3.56</v>
      </c>
      <c r="AC22" s="22">
        <v>3.71</v>
      </c>
      <c r="AD22" s="22">
        <v>3.66</v>
      </c>
      <c r="AE22" s="22">
        <v>4.21</v>
      </c>
      <c r="AF22" s="22">
        <v>4.16</v>
      </c>
      <c r="AG22" s="22">
        <v>4.3099999999999996</v>
      </c>
      <c r="AH22" s="22">
        <v>4.26</v>
      </c>
    </row>
    <row r="23" spans="1:34" ht="15" customHeight="1" x14ac:dyDescent="0.3">
      <c r="A23" s="38" t="s">
        <v>18</v>
      </c>
      <c r="B23" s="22" t="s">
        <v>169</v>
      </c>
      <c r="C23" s="23">
        <v>60</v>
      </c>
      <c r="D23" s="23">
        <v>80</v>
      </c>
      <c r="E23" s="35">
        <v>769503877587</v>
      </c>
      <c r="F23" s="24">
        <v>0.05</v>
      </c>
      <c r="G23" s="24">
        <v>0.05</v>
      </c>
      <c r="H23" s="22">
        <v>3.18</v>
      </c>
      <c r="I23" s="22">
        <v>3.23</v>
      </c>
      <c r="J23" s="22">
        <v>3.28</v>
      </c>
      <c r="K23" s="22">
        <v>3.31</v>
      </c>
      <c r="L23" s="22">
        <v>3.36</v>
      </c>
      <c r="M23" s="22">
        <v>3.41</v>
      </c>
      <c r="N23" s="22">
        <v>3.44</v>
      </c>
      <c r="O23" s="22">
        <v>3.49</v>
      </c>
      <c r="P23" s="22">
        <v>3.54</v>
      </c>
      <c r="Q23" s="22">
        <v>3.63</v>
      </c>
      <c r="R23" s="22">
        <v>3.68</v>
      </c>
      <c r="S23" s="22">
        <v>3.73</v>
      </c>
      <c r="T23" s="22">
        <f t="shared" si="0"/>
        <v>3.18</v>
      </c>
      <c r="U23" s="22">
        <f t="shared" si="1"/>
        <v>3.23</v>
      </c>
      <c r="V23" s="22">
        <v>3.72</v>
      </c>
      <c r="W23" s="22">
        <v>3.78</v>
      </c>
      <c r="X23" s="22">
        <v>3.99</v>
      </c>
      <c r="Y23" s="22">
        <v>3.53</v>
      </c>
      <c r="Z23" s="22">
        <v>3.71</v>
      </c>
      <c r="AA23" s="22">
        <v>3.23</v>
      </c>
      <c r="AB23" s="22">
        <v>3.18</v>
      </c>
      <c r="AC23" s="22">
        <v>3.33</v>
      </c>
      <c r="AD23" s="22">
        <v>3.2800000000000002</v>
      </c>
      <c r="AE23" s="22">
        <v>3.78</v>
      </c>
      <c r="AF23" s="22">
        <v>3.72</v>
      </c>
      <c r="AG23" s="22">
        <v>3.88</v>
      </c>
      <c r="AH23" s="22">
        <v>3.8200000000000003</v>
      </c>
    </row>
    <row r="24" spans="1:34" ht="15" customHeight="1" x14ac:dyDescent="0.3">
      <c r="A24" s="38" t="s">
        <v>22</v>
      </c>
      <c r="B24" s="22" t="s">
        <v>170</v>
      </c>
      <c r="C24" s="23">
        <v>60</v>
      </c>
      <c r="D24" s="23">
        <v>80</v>
      </c>
      <c r="E24" s="35">
        <v>5023421000010</v>
      </c>
      <c r="F24" s="24">
        <v>0.05</v>
      </c>
      <c r="G24" s="24">
        <v>0.05</v>
      </c>
      <c r="H24" s="22">
        <v>3.18</v>
      </c>
      <c r="I24" s="22">
        <v>3.23</v>
      </c>
      <c r="J24" s="22">
        <v>3.28</v>
      </c>
      <c r="K24" s="22">
        <v>3.31</v>
      </c>
      <c r="L24" s="22">
        <v>3.36</v>
      </c>
      <c r="M24" s="22">
        <v>3.41</v>
      </c>
      <c r="N24" s="22">
        <v>3.44</v>
      </c>
      <c r="O24" s="22">
        <v>3.49</v>
      </c>
      <c r="P24" s="22">
        <v>3.54</v>
      </c>
      <c r="Q24" s="22">
        <v>3.63</v>
      </c>
      <c r="R24" s="22">
        <v>3.68</v>
      </c>
      <c r="S24" s="22">
        <v>3.73</v>
      </c>
      <c r="T24" s="22">
        <f t="shared" si="0"/>
        <v>3.18</v>
      </c>
      <c r="U24" s="22">
        <f t="shared" si="1"/>
        <v>3.23</v>
      </c>
      <c r="V24" s="22">
        <v>3.72</v>
      </c>
      <c r="W24" s="22">
        <v>3.78</v>
      </c>
      <c r="X24" s="22">
        <v>4.3600000000000003</v>
      </c>
      <c r="Y24" s="22">
        <v>3.53</v>
      </c>
      <c r="Z24" s="22">
        <v>3.71</v>
      </c>
      <c r="AA24" s="22">
        <v>3.23</v>
      </c>
      <c r="AB24" s="22">
        <v>3.18</v>
      </c>
      <c r="AC24" s="22">
        <v>3.33</v>
      </c>
      <c r="AD24" s="22">
        <v>3.2800000000000002</v>
      </c>
      <c r="AE24" s="22">
        <v>3.78</v>
      </c>
      <c r="AF24" s="22">
        <v>3.72</v>
      </c>
      <c r="AG24" s="22">
        <v>3.88</v>
      </c>
      <c r="AH24" s="22">
        <v>3.8200000000000003</v>
      </c>
    </row>
    <row r="25" spans="1:34" ht="15" customHeight="1" x14ac:dyDescent="0.3">
      <c r="A25" s="38" t="s">
        <v>147</v>
      </c>
      <c r="B25" s="22" t="s">
        <v>171</v>
      </c>
      <c r="C25" s="23">
        <v>75</v>
      </c>
      <c r="D25" s="23">
        <v>57</v>
      </c>
      <c r="E25" s="48" t="s">
        <v>146</v>
      </c>
      <c r="F25" s="24">
        <v>0.05</v>
      </c>
      <c r="G25" s="24">
        <v>0.05</v>
      </c>
      <c r="H25" s="22">
        <v>3.97</v>
      </c>
      <c r="I25" s="22">
        <v>4.04</v>
      </c>
      <c r="J25" s="22">
        <v>4.09</v>
      </c>
      <c r="K25" s="22">
        <v>4.1399999999999997</v>
      </c>
      <c r="L25" s="22">
        <v>4.2</v>
      </c>
      <c r="M25" s="22">
        <v>4.26</v>
      </c>
      <c r="N25" s="22">
        <v>4.29</v>
      </c>
      <c r="O25" s="22">
        <v>4.3600000000000003</v>
      </c>
      <c r="P25" s="22">
        <v>4.42</v>
      </c>
      <c r="Q25" s="22">
        <v>4.53</v>
      </c>
      <c r="R25" s="22">
        <v>4.59</v>
      </c>
      <c r="S25" s="22">
        <v>4.66</v>
      </c>
      <c r="T25" s="22">
        <f t="shared" si="0"/>
        <v>3.97</v>
      </c>
      <c r="U25" s="22">
        <f t="shared" si="1"/>
        <v>4.0200000000000005</v>
      </c>
      <c r="V25" s="22">
        <v>4.6500000000000004</v>
      </c>
      <c r="W25" s="22">
        <v>4.72</v>
      </c>
      <c r="X25" s="22">
        <v>4.99</v>
      </c>
      <c r="Y25" s="22">
        <v>4.63</v>
      </c>
      <c r="Z25" s="22">
        <v>4.41</v>
      </c>
      <c r="AA25" s="22">
        <v>4.0200000000000005</v>
      </c>
      <c r="AB25" s="22">
        <v>3.97</v>
      </c>
      <c r="AC25" s="22">
        <v>4.12</v>
      </c>
      <c r="AD25" s="22">
        <v>4.07</v>
      </c>
      <c r="AE25" s="22">
        <v>4.72</v>
      </c>
      <c r="AF25" s="22">
        <v>4.6500000000000004</v>
      </c>
      <c r="AG25" s="22">
        <v>4.8199999999999994</v>
      </c>
      <c r="AH25" s="22">
        <v>4.75</v>
      </c>
    </row>
    <row r="26" spans="1:34" ht="15" customHeight="1" x14ac:dyDescent="0.3">
      <c r="A26" s="38" t="s">
        <v>145</v>
      </c>
      <c r="B26" s="22" t="s">
        <v>172</v>
      </c>
      <c r="C26" s="23">
        <v>60</v>
      </c>
      <c r="D26" s="23">
        <v>80</v>
      </c>
      <c r="E26" s="35">
        <v>604565380593</v>
      </c>
      <c r="F26" s="24">
        <v>0.05</v>
      </c>
      <c r="G26" s="24">
        <v>0.05</v>
      </c>
      <c r="H26" s="22">
        <v>3.18</v>
      </c>
      <c r="I26" s="22">
        <v>3.23</v>
      </c>
      <c r="J26" s="22">
        <v>3.28</v>
      </c>
      <c r="K26" s="22">
        <v>3.31</v>
      </c>
      <c r="L26" s="22">
        <v>3.36</v>
      </c>
      <c r="M26" s="22">
        <v>3.41</v>
      </c>
      <c r="N26" s="22">
        <v>3.44</v>
      </c>
      <c r="O26" s="22">
        <v>3.49</v>
      </c>
      <c r="P26" s="22">
        <v>3.54</v>
      </c>
      <c r="Q26" s="22">
        <v>3.63</v>
      </c>
      <c r="R26" s="22">
        <v>3.68</v>
      </c>
      <c r="S26" s="22">
        <v>3.73</v>
      </c>
      <c r="T26" s="22">
        <f t="shared" si="0"/>
        <v>3.18</v>
      </c>
      <c r="U26" s="22">
        <f t="shared" si="1"/>
        <v>3.23</v>
      </c>
      <c r="V26" s="22">
        <v>3.72</v>
      </c>
      <c r="W26" s="22">
        <v>3.78</v>
      </c>
      <c r="X26" s="22">
        <v>4.3600000000000003</v>
      </c>
      <c r="Y26" s="22">
        <v>3.53</v>
      </c>
      <c r="Z26" s="22">
        <v>3.71</v>
      </c>
      <c r="AA26" s="22">
        <v>3.23</v>
      </c>
      <c r="AB26" s="22">
        <v>3.18</v>
      </c>
      <c r="AC26" s="22">
        <v>3.33</v>
      </c>
      <c r="AD26" s="22">
        <v>3.2800000000000002</v>
      </c>
      <c r="AE26" s="22">
        <v>3.78</v>
      </c>
      <c r="AF26" s="22">
        <v>3.72</v>
      </c>
      <c r="AG26" s="22">
        <v>3.88</v>
      </c>
      <c r="AH26" s="22">
        <v>3.8200000000000003</v>
      </c>
    </row>
    <row r="27" spans="1:34" ht="15" customHeight="1" x14ac:dyDescent="0.3">
      <c r="A27" s="38" t="s">
        <v>16</v>
      </c>
      <c r="B27" s="22" t="s">
        <v>173</v>
      </c>
      <c r="C27" s="23">
        <v>60</v>
      </c>
      <c r="D27" s="23">
        <v>70</v>
      </c>
      <c r="E27" s="35">
        <v>5023421409646</v>
      </c>
      <c r="F27" s="24">
        <v>0.05</v>
      </c>
      <c r="G27" s="24">
        <v>0.05</v>
      </c>
      <c r="H27" s="22">
        <v>3.04</v>
      </c>
      <c r="I27" s="22">
        <v>3.09</v>
      </c>
      <c r="J27" s="22">
        <v>3.14</v>
      </c>
      <c r="K27" s="22">
        <v>3.16</v>
      </c>
      <c r="L27" s="22">
        <v>3.21</v>
      </c>
      <c r="M27" s="22">
        <v>3.26</v>
      </c>
      <c r="N27" s="22">
        <v>3.28</v>
      </c>
      <c r="O27" s="22">
        <v>3.33</v>
      </c>
      <c r="P27" s="22">
        <v>3.38</v>
      </c>
      <c r="Q27" s="22">
        <v>3.46</v>
      </c>
      <c r="R27" s="22">
        <v>3.51</v>
      </c>
      <c r="S27" s="22">
        <v>3.56</v>
      </c>
      <c r="T27" s="22">
        <f t="shared" si="0"/>
        <v>3.04</v>
      </c>
      <c r="U27" s="22">
        <f t="shared" si="1"/>
        <v>3.09</v>
      </c>
      <c r="V27" s="22">
        <v>3.55</v>
      </c>
      <c r="W27" s="22">
        <v>3.61</v>
      </c>
      <c r="X27" s="22">
        <v>4.16</v>
      </c>
      <c r="Y27" s="22">
        <v>3.38</v>
      </c>
      <c r="Z27" s="22">
        <v>3.54</v>
      </c>
      <c r="AA27" s="22">
        <v>3.09</v>
      </c>
      <c r="AB27" s="22">
        <v>3.04</v>
      </c>
      <c r="AC27" s="22">
        <v>3.19</v>
      </c>
      <c r="AD27" s="22">
        <v>3.14</v>
      </c>
      <c r="AE27" s="22">
        <v>3.61</v>
      </c>
      <c r="AF27" s="22">
        <v>3.55</v>
      </c>
      <c r="AG27" s="22">
        <v>3.71</v>
      </c>
      <c r="AH27" s="22">
        <v>3.65</v>
      </c>
    </row>
    <row r="28" spans="1:34" ht="15" customHeight="1" x14ac:dyDescent="0.3">
      <c r="A28" s="38" t="s">
        <v>71</v>
      </c>
      <c r="B28" s="22" t="s">
        <v>174</v>
      </c>
      <c r="C28" s="23">
        <v>100</v>
      </c>
      <c r="D28" s="23">
        <v>40</v>
      </c>
      <c r="E28" s="35">
        <v>5023421000126</v>
      </c>
      <c r="F28" s="24">
        <v>0.25</v>
      </c>
      <c r="G28" s="24">
        <v>0.15</v>
      </c>
      <c r="H28" s="22">
        <v>5.31</v>
      </c>
      <c r="I28" s="22">
        <v>5.56</v>
      </c>
      <c r="J28" s="22">
        <v>5.71</v>
      </c>
      <c r="K28" s="22">
        <v>5.53</v>
      </c>
      <c r="L28" s="22">
        <v>5.78</v>
      </c>
      <c r="M28" s="22">
        <v>5.93</v>
      </c>
      <c r="N28" s="22">
        <v>5.74</v>
      </c>
      <c r="O28" s="22">
        <v>5.99</v>
      </c>
      <c r="P28" s="22">
        <v>6.14</v>
      </c>
      <c r="Q28" s="22">
        <v>6.05</v>
      </c>
      <c r="R28" s="22">
        <v>6.3</v>
      </c>
      <c r="S28" s="22">
        <v>6.45</v>
      </c>
      <c r="T28" s="22">
        <f t="shared" si="0"/>
        <v>5.31</v>
      </c>
      <c r="U28" s="22">
        <f t="shared" si="1"/>
        <v>5.56</v>
      </c>
      <c r="V28" s="22">
        <v>6.21</v>
      </c>
      <c r="W28" s="22">
        <v>6.51</v>
      </c>
      <c r="X28" s="22">
        <v>7.12</v>
      </c>
      <c r="Y28" s="22">
        <v>6.1</v>
      </c>
      <c r="Z28" s="22">
        <v>6.4</v>
      </c>
      <c r="AA28" s="22">
        <v>5.56</v>
      </c>
      <c r="AB28" s="22">
        <v>5.31</v>
      </c>
      <c r="AC28" s="22">
        <v>5.6599999999999993</v>
      </c>
      <c r="AD28" s="22">
        <v>5.4099999999999993</v>
      </c>
      <c r="AE28" s="22">
        <v>6.51</v>
      </c>
      <c r="AF28" s="22">
        <v>6.21</v>
      </c>
      <c r="AG28" s="22">
        <v>6.6099999999999994</v>
      </c>
      <c r="AH28" s="22">
        <v>6.31</v>
      </c>
    </row>
    <row r="29" spans="1:34" ht="15" customHeight="1" x14ac:dyDescent="0.3">
      <c r="A29" s="38" t="s">
        <v>4</v>
      </c>
      <c r="B29" s="22" t="s">
        <v>175</v>
      </c>
      <c r="C29" s="23">
        <v>75</v>
      </c>
      <c r="D29" s="23">
        <v>48</v>
      </c>
      <c r="E29" s="35">
        <v>5023421409523</v>
      </c>
      <c r="F29" s="24">
        <v>0.1</v>
      </c>
      <c r="G29" s="24">
        <v>0.05</v>
      </c>
      <c r="H29" s="22">
        <v>4.84</v>
      </c>
      <c r="I29" s="22">
        <v>4.9400000000000004</v>
      </c>
      <c r="J29" s="22">
        <v>4.99</v>
      </c>
      <c r="K29" s="22">
        <v>5.04</v>
      </c>
      <c r="L29" s="22">
        <v>5.14</v>
      </c>
      <c r="M29" s="22">
        <v>5.19</v>
      </c>
      <c r="N29" s="22">
        <v>5.23</v>
      </c>
      <c r="O29" s="22">
        <v>5.33</v>
      </c>
      <c r="P29" s="22">
        <v>5.38</v>
      </c>
      <c r="Q29" s="22">
        <v>5.52</v>
      </c>
      <c r="R29" s="22">
        <v>5.62</v>
      </c>
      <c r="S29" s="22">
        <v>5.67</v>
      </c>
      <c r="T29" s="22">
        <f t="shared" si="0"/>
        <v>4.84</v>
      </c>
      <c r="U29" s="22">
        <f t="shared" si="1"/>
        <v>4.9399999999999995</v>
      </c>
      <c r="V29" s="22">
        <v>5.67</v>
      </c>
      <c r="W29" s="22">
        <v>5.79</v>
      </c>
      <c r="X29" s="22">
        <v>6.24</v>
      </c>
      <c r="Y29" s="22">
        <v>5.41</v>
      </c>
      <c r="Z29" s="22">
        <v>5.68</v>
      </c>
      <c r="AA29" s="22">
        <v>4.9399999999999995</v>
      </c>
      <c r="AB29" s="22">
        <v>4.84</v>
      </c>
      <c r="AC29" s="22">
        <v>5.0399999999999991</v>
      </c>
      <c r="AD29" s="22">
        <v>4.9399999999999995</v>
      </c>
      <c r="AE29" s="22">
        <v>5.79</v>
      </c>
      <c r="AF29" s="22">
        <v>5.67</v>
      </c>
      <c r="AG29" s="22">
        <v>5.89</v>
      </c>
      <c r="AH29" s="22">
        <v>5.77</v>
      </c>
    </row>
    <row r="30" spans="1:34" ht="15" customHeight="1" x14ac:dyDescent="0.3">
      <c r="A30" s="38" t="s">
        <v>4</v>
      </c>
      <c r="B30" s="22" t="s">
        <v>176</v>
      </c>
      <c r="C30" s="23">
        <v>60</v>
      </c>
      <c r="D30" s="23">
        <v>80</v>
      </c>
      <c r="E30" s="35">
        <v>725765023209</v>
      </c>
      <c r="F30" s="24">
        <v>0.1</v>
      </c>
      <c r="G30" s="24">
        <v>0.05</v>
      </c>
      <c r="H30" s="22">
        <v>3.86</v>
      </c>
      <c r="I30" s="22">
        <v>3.96</v>
      </c>
      <c r="J30" s="22">
        <v>4.01</v>
      </c>
      <c r="K30" s="22">
        <v>4.0199999999999996</v>
      </c>
      <c r="L30" s="22">
        <v>4.12</v>
      </c>
      <c r="M30" s="22">
        <v>4.17</v>
      </c>
      <c r="N30" s="22">
        <v>4.17</v>
      </c>
      <c r="O30" s="22">
        <v>4.2699999999999996</v>
      </c>
      <c r="P30" s="22">
        <v>4.32</v>
      </c>
      <c r="Q30" s="22">
        <v>4.4000000000000004</v>
      </c>
      <c r="R30" s="22">
        <v>4.5</v>
      </c>
      <c r="S30" s="22">
        <v>4.55</v>
      </c>
      <c r="T30" s="22">
        <f t="shared" si="0"/>
        <v>3.86</v>
      </c>
      <c r="U30" s="22">
        <f t="shared" si="1"/>
        <v>3.96</v>
      </c>
      <c r="V30" s="22">
        <v>4.5199999999999996</v>
      </c>
      <c r="W30" s="22">
        <v>4.63</v>
      </c>
      <c r="X30" s="22">
        <v>4.99</v>
      </c>
      <c r="Y30" s="22">
        <v>4.34</v>
      </c>
      <c r="Z30" s="22">
        <v>4.55</v>
      </c>
      <c r="AA30" s="22">
        <v>3.96</v>
      </c>
      <c r="AB30" s="22">
        <v>3.86</v>
      </c>
      <c r="AC30" s="22">
        <v>4.0599999999999996</v>
      </c>
      <c r="AD30" s="22">
        <v>3.96</v>
      </c>
      <c r="AE30" s="22">
        <v>4.63</v>
      </c>
      <c r="AF30" s="22">
        <v>4.5199999999999996</v>
      </c>
      <c r="AG30" s="22">
        <v>4.7299999999999995</v>
      </c>
      <c r="AH30" s="22">
        <v>4.6199999999999992</v>
      </c>
    </row>
    <row r="31" spans="1:34" ht="15" customHeight="1" x14ac:dyDescent="0.3">
      <c r="A31" s="38" t="s">
        <v>5</v>
      </c>
      <c r="B31" s="22" t="s">
        <v>177</v>
      </c>
      <c r="C31" s="23">
        <v>60</v>
      </c>
      <c r="D31" s="23">
        <v>80</v>
      </c>
      <c r="E31" s="35">
        <v>5023421409516</v>
      </c>
      <c r="F31" s="24">
        <v>0.1</v>
      </c>
      <c r="G31" s="24">
        <v>0.05</v>
      </c>
      <c r="H31" s="22">
        <v>3.57</v>
      </c>
      <c r="I31" s="22">
        <v>3.67</v>
      </c>
      <c r="J31" s="22">
        <v>3.72</v>
      </c>
      <c r="K31" s="22">
        <v>3.72</v>
      </c>
      <c r="L31" s="22">
        <v>3.82</v>
      </c>
      <c r="M31" s="22">
        <v>3.87</v>
      </c>
      <c r="N31" s="22">
        <v>3.86</v>
      </c>
      <c r="O31" s="22">
        <v>3.96</v>
      </c>
      <c r="P31" s="22">
        <v>4.01</v>
      </c>
      <c r="Q31" s="22">
        <v>4.07</v>
      </c>
      <c r="R31" s="22">
        <v>4.17</v>
      </c>
      <c r="S31" s="22">
        <v>4.22</v>
      </c>
      <c r="T31" s="22">
        <f t="shared" si="0"/>
        <v>3.57</v>
      </c>
      <c r="U31" s="22">
        <f t="shared" si="1"/>
        <v>3.67</v>
      </c>
      <c r="V31" s="22">
        <v>4.18</v>
      </c>
      <c r="W31" s="22">
        <v>4.29</v>
      </c>
      <c r="X31" s="22">
        <v>4.92</v>
      </c>
      <c r="Y31" s="22">
        <v>4.0199999999999996</v>
      </c>
      <c r="Z31" s="22">
        <v>4.22</v>
      </c>
      <c r="AA31" s="22">
        <v>3.67</v>
      </c>
      <c r="AB31" s="22">
        <v>3.57</v>
      </c>
      <c r="AC31" s="22">
        <v>3.77</v>
      </c>
      <c r="AD31" s="22">
        <v>3.67</v>
      </c>
      <c r="AE31" s="22">
        <v>4.29</v>
      </c>
      <c r="AF31" s="22">
        <v>4.18</v>
      </c>
      <c r="AG31" s="22">
        <v>4.3899999999999997</v>
      </c>
      <c r="AH31" s="22">
        <v>4.2799999999999994</v>
      </c>
    </row>
    <row r="32" spans="1:34" ht="15" customHeight="1" x14ac:dyDescent="0.3">
      <c r="A32" s="38" t="s">
        <v>6</v>
      </c>
      <c r="B32" s="22" t="s">
        <v>178</v>
      </c>
      <c r="C32" s="23">
        <v>60</v>
      </c>
      <c r="D32" s="23">
        <v>70</v>
      </c>
      <c r="E32" s="35">
        <v>5023421409608</v>
      </c>
      <c r="F32" s="24">
        <v>0.1</v>
      </c>
      <c r="G32" s="24">
        <v>0.05</v>
      </c>
      <c r="H32" s="22">
        <v>3.85</v>
      </c>
      <c r="I32" s="22">
        <v>3.95</v>
      </c>
      <c r="J32" s="22">
        <v>4</v>
      </c>
      <c r="K32" s="22">
        <v>4</v>
      </c>
      <c r="L32" s="22">
        <v>4.0999999999999996</v>
      </c>
      <c r="M32" s="22">
        <v>4.1500000000000004</v>
      </c>
      <c r="N32" s="22">
        <v>4.1500000000000004</v>
      </c>
      <c r="O32" s="22">
        <v>4.25</v>
      </c>
      <c r="P32" s="22">
        <v>4.3</v>
      </c>
      <c r="Q32" s="22">
        <v>4.3899999999999997</v>
      </c>
      <c r="R32" s="22">
        <v>4.49</v>
      </c>
      <c r="S32" s="22">
        <v>4.54</v>
      </c>
      <c r="T32" s="22">
        <f t="shared" si="0"/>
        <v>3.85</v>
      </c>
      <c r="U32" s="22">
        <f t="shared" si="1"/>
        <v>3.95</v>
      </c>
      <c r="V32" s="22">
        <v>4.5</v>
      </c>
      <c r="W32" s="22">
        <v>4.62</v>
      </c>
      <c r="X32" s="22">
        <v>4.8499999999999996</v>
      </c>
      <c r="Y32" s="22">
        <v>4.32</v>
      </c>
      <c r="Z32" s="22">
        <v>4.54</v>
      </c>
      <c r="AA32" s="22">
        <v>3.95</v>
      </c>
      <c r="AB32" s="22">
        <v>3.85</v>
      </c>
      <c r="AC32" s="22">
        <v>4.05</v>
      </c>
      <c r="AD32" s="22">
        <v>3.95</v>
      </c>
      <c r="AE32" s="22">
        <v>4.62</v>
      </c>
      <c r="AF32" s="22">
        <v>4.5</v>
      </c>
      <c r="AG32" s="22">
        <v>4.72</v>
      </c>
      <c r="AH32" s="22">
        <v>4.5999999999999996</v>
      </c>
    </row>
    <row r="33" spans="1:34" ht="15" customHeight="1" x14ac:dyDescent="0.3">
      <c r="A33" s="38" t="s">
        <v>7</v>
      </c>
      <c r="B33" s="22" t="s">
        <v>179</v>
      </c>
      <c r="C33" s="23">
        <v>36</v>
      </c>
      <c r="D33" s="23">
        <v>100</v>
      </c>
      <c r="E33" s="35">
        <v>5023421409585</v>
      </c>
      <c r="F33" s="24">
        <v>0.05</v>
      </c>
      <c r="G33" s="24">
        <v>0.05</v>
      </c>
      <c r="H33" s="22">
        <v>1.78</v>
      </c>
      <c r="I33" s="22">
        <v>1.83</v>
      </c>
      <c r="J33" s="22">
        <v>1.88</v>
      </c>
      <c r="K33" s="22">
        <v>1.86</v>
      </c>
      <c r="L33" s="22">
        <v>1.91</v>
      </c>
      <c r="M33" s="22">
        <v>1.96</v>
      </c>
      <c r="N33" s="22">
        <v>1.93</v>
      </c>
      <c r="O33" s="22">
        <v>1.98</v>
      </c>
      <c r="P33" s="22">
        <v>2.0299999999999998</v>
      </c>
      <c r="Q33" s="22">
        <v>2.0299999999999998</v>
      </c>
      <c r="R33" s="22">
        <v>2.08</v>
      </c>
      <c r="S33" s="22">
        <v>2.13</v>
      </c>
      <c r="T33" s="22">
        <f t="shared" si="0"/>
        <v>1.78</v>
      </c>
      <c r="U33" s="22">
        <f t="shared" si="1"/>
        <v>1.83</v>
      </c>
      <c r="V33" s="22">
        <v>2.09</v>
      </c>
      <c r="W33" s="22">
        <v>2.15</v>
      </c>
      <c r="X33" s="22">
        <v>2.46</v>
      </c>
      <c r="Y33" s="22">
        <v>2.0099999999999998</v>
      </c>
      <c r="Z33" s="22">
        <v>2.11</v>
      </c>
      <c r="AA33" s="22">
        <v>1.83</v>
      </c>
      <c r="AB33" s="22">
        <v>1.78</v>
      </c>
      <c r="AC33" s="22">
        <v>1.9300000000000002</v>
      </c>
      <c r="AD33" s="22">
        <v>1.8800000000000001</v>
      </c>
      <c r="AE33" s="22">
        <v>2.15</v>
      </c>
      <c r="AF33" s="22">
        <v>2.09</v>
      </c>
      <c r="AG33" s="22">
        <v>2.25</v>
      </c>
      <c r="AH33" s="22">
        <v>2.19</v>
      </c>
    </row>
    <row r="34" spans="1:34" ht="15" customHeight="1" x14ac:dyDescent="0.3">
      <c r="A34" s="38" t="s">
        <v>133</v>
      </c>
      <c r="B34" s="22" t="s">
        <v>180</v>
      </c>
      <c r="C34" s="23">
        <v>25</v>
      </c>
      <c r="D34" s="23">
        <v>70</v>
      </c>
      <c r="E34" s="35">
        <v>5023421409660</v>
      </c>
      <c r="F34" s="24">
        <v>0.05</v>
      </c>
      <c r="G34" s="24">
        <v>0.05</v>
      </c>
      <c r="H34" s="22">
        <v>2.15</v>
      </c>
      <c r="I34" s="22">
        <v>2.2000000000000002</v>
      </c>
      <c r="J34" s="22">
        <v>2.25</v>
      </c>
      <c r="K34" s="22">
        <v>2.2400000000000002</v>
      </c>
      <c r="L34" s="22">
        <v>2.29</v>
      </c>
      <c r="M34" s="22">
        <v>2.34</v>
      </c>
      <c r="N34" s="22">
        <v>2.3199999999999998</v>
      </c>
      <c r="O34" s="22">
        <v>2.37</v>
      </c>
      <c r="P34" s="22">
        <v>2.42</v>
      </c>
      <c r="Q34" s="22">
        <v>2.4500000000000002</v>
      </c>
      <c r="R34" s="22">
        <v>2.5</v>
      </c>
      <c r="S34" s="22">
        <v>2.5499999999999998</v>
      </c>
      <c r="T34" s="22">
        <f t="shared" si="0"/>
        <v>2.15</v>
      </c>
      <c r="U34" s="22">
        <f t="shared" si="1"/>
        <v>2.1999999999999997</v>
      </c>
      <c r="V34" s="22">
        <v>2.5099999999999998</v>
      </c>
      <c r="W34" s="22">
        <v>2.57</v>
      </c>
      <c r="X34" s="22">
        <v>3.17</v>
      </c>
      <c r="Y34" s="22">
        <v>2.4</v>
      </c>
      <c r="Z34" s="22">
        <v>2.52</v>
      </c>
      <c r="AA34" s="22">
        <v>2.1999999999999997</v>
      </c>
      <c r="AB34" s="22">
        <v>2.15</v>
      </c>
      <c r="AC34" s="22">
        <v>2.2999999999999998</v>
      </c>
      <c r="AD34" s="22">
        <v>2.25</v>
      </c>
      <c r="AE34" s="22">
        <v>2.57</v>
      </c>
      <c r="AF34" s="22">
        <v>2.5099999999999998</v>
      </c>
      <c r="AG34" s="22">
        <v>2.67</v>
      </c>
      <c r="AH34" s="22">
        <v>2.61</v>
      </c>
    </row>
    <row r="35" spans="1:34" ht="15" customHeight="1" x14ac:dyDescent="0.3">
      <c r="A35" s="38" t="s">
        <v>144</v>
      </c>
      <c r="B35" s="22" t="s">
        <v>181</v>
      </c>
      <c r="C35" s="23">
        <v>35</v>
      </c>
      <c r="D35" s="23">
        <v>65</v>
      </c>
      <c r="E35" s="50" t="s">
        <v>142</v>
      </c>
      <c r="F35" s="24">
        <v>0.05</v>
      </c>
      <c r="G35" s="24">
        <v>0.05</v>
      </c>
      <c r="H35" s="22">
        <v>2.99</v>
      </c>
      <c r="I35" s="22">
        <v>3.04</v>
      </c>
      <c r="J35" s="22">
        <v>3.09</v>
      </c>
      <c r="K35" s="22">
        <v>3.14</v>
      </c>
      <c r="L35" s="22">
        <v>3.19</v>
      </c>
      <c r="M35" s="22">
        <v>3.24</v>
      </c>
      <c r="N35" s="22">
        <v>3.25</v>
      </c>
      <c r="O35" s="22">
        <v>3.33</v>
      </c>
      <c r="P35" s="22">
        <v>3.39</v>
      </c>
      <c r="Q35" s="22">
        <v>3.43</v>
      </c>
      <c r="R35" s="22">
        <v>3.49</v>
      </c>
      <c r="S35" s="22">
        <v>3.55</v>
      </c>
      <c r="T35" s="22">
        <f t="shared" si="0"/>
        <v>2.99</v>
      </c>
      <c r="U35" s="22">
        <f t="shared" si="1"/>
        <v>3.04</v>
      </c>
      <c r="V35" s="22">
        <v>3.49</v>
      </c>
      <c r="W35" s="22">
        <v>3.57</v>
      </c>
      <c r="X35" s="22">
        <v>4.4400000000000004</v>
      </c>
      <c r="Y35" s="22">
        <f>SUM(L35/100)*5+L35</f>
        <v>3.3494999999999999</v>
      </c>
      <c r="Z35" s="22">
        <v>3.52</v>
      </c>
      <c r="AA35" s="22">
        <v>3.04</v>
      </c>
      <c r="AB35" s="22">
        <v>2.99</v>
      </c>
      <c r="AC35" s="22">
        <v>3.14</v>
      </c>
      <c r="AD35" s="22">
        <v>3.09</v>
      </c>
      <c r="AE35" s="22">
        <v>3.56</v>
      </c>
      <c r="AF35" s="22">
        <v>3.49</v>
      </c>
      <c r="AG35" s="22">
        <v>3.66</v>
      </c>
      <c r="AH35" s="22">
        <v>3.59</v>
      </c>
    </row>
    <row r="36" spans="1:34" ht="15" customHeight="1" x14ac:dyDescent="0.3">
      <c r="A36" s="38" t="s">
        <v>9</v>
      </c>
      <c r="B36" s="22" t="s">
        <v>182</v>
      </c>
      <c r="C36" s="23">
        <v>40</v>
      </c>
      <c r="D36" s="23">
        <v>70</v>
      </c>
      <c r="E36" s="35">
        <v>5023421409578</v>
      </c>
      <c r="F36" s="24">
        <v>0.05</v>
      </c>
      <c r="G36" s="24">
        <v>0.05</v>
      </c>
      <c r="H36" s="22">
        <v>2.34</v>
      </c>
      <c r="I36" s="22">
        <v>2.39</v>
      </c>
      <c r="J36" s="22">
        <v>2.44</v>
      </c>
      <c r="K36" s="22">
        <v>2.4300000000000002</v>
      </c>
      <c r="L36" s="22">
        <v>2.48</v>
      </c>
      <c r="M36" s="22">
        <v>2.5299999999999998</v>
      </c>
      <c r="N36" s="22">
        <v>2.52</v>
      </c>
      <c r="O36" s="22">
        <v>2.57</v>
      </c>
      <c r="P36" s="22">
        <v>2.62</v>
      </c>
      <c r="Q36" s="22">
        <v>2.67</v>
      </c>
      <c r="R36" s="22">
        <v>2.72</v>
      </c>
      <c r="S36" s="22">
        <v>2.77</v>
      </c>
      <c r="T36" s="22">
        <f t="shared" si="0"/>
        <v>2.34</v>
      </c>
      <c r="U36" s="22">
        <f t="shared" si="1"/>
        <v>2.3899999999999997</v>
      </c>
      <c r="V36" s="22">
        <v>2.74</v>
      </c>
      <c r="W36" s="22">
        <v>2.79</v>
      </c>
      <c r="X36" s="22">
        <v>3.36</v>
      </c>
      <c r="Y36" s="22">
        <v>2.61</v>
      </c>
      <c r="Z36" s="22">
        <v>2.74</v>
      </c>
      <c r="AA36" s="22">
        <v>2.3899999999999997</v>
      </c>
      <c r="AB36" s="22">
        <v>2.34</v>
      </c>
      <c r="AC36" s="22">
        <v>2.4899999999999998</v>
      </c>
      <c r="AD36" s="22">
        <v>2.44</v>
      </c>
      <c r="AE36" s="22">
        <v>2.79</v>
      </c>
      <c r="AF36" s="22">
        <v>2.74</v>
      </c>
      <c r="AG36" s="22">
        <v>2.89</v>
      </c>
      <c r="AH36" s="22">
        <v>2.8400000000000003</v>
      </c>
    </row>
    <row r="37" spans="1:34" ht="15" customHeight="1" x14ac:dyDescent="0.3">
      <c r="A37" s="38" t="s">
        <v>65</v>
      </c>
      <c r="B37" s="22" t="s">
        <v>183</v>
      </c>
      <c r="C37" s="23">
        <v>20</v>
      </c>
      <c r="D37" s="23">
        <v>70</v>
      </c>
      <c r="E37" s="35">
        <v>725765023216</v>
      </c>
      <c r="F37" s="24">
        <v>0.1</v>
      </c>
      <c r="G37" s="24">
        <v>0.05</v>
      </c>
      <c r="H37" s="22">
        <v>3.25</v>
      </c>
      <c r="I37" s="22">
        <v>3.35</v>
      </c>
      <c r="J37" s="22">
        <v>3.4</v>
      </c>
      <c r="K37" s="22">
        <v>3.35</v>
      </c>
      <c r="L37" s="22">
        <v>3.45</v>
      </c>
      <c r="M37" s="22">
        <v>3.5</v>
      </c>
      <c r="N37" s="22">
        <v>3.45</v>
      </c>
      <c r="O37" s="22">
        <v>3.55</v>
      </c>
      <c r="P37" s="22">
        <v>3.6</v>
      </c>
      <c r="Q37" s="22">
        <v>3.55</v>
      </c>
      <c r="R37" s="22">
        <v>3.65</v>
      </c>
      <c r="S37" s="22">
        <v>3.7</v>
      </c>
      <c r="T37" s="22">
        <f t="shared" si="0"/>
        <v>3.25</v>
      </c>
      <c r="U37" s="22">
        <f t="shared" si="1"/>
        <v>3.35</v>
      </c>
      <c r="V37" s="22">
        <v>3.8</v>
      </c>
      <c r="W37" s="22">
        <v>3.91</v>
      </c>
      <c r="X37" s="22">
        <v>4.2699999999999996</v>
      </c>
      <c r="Y37" s="22">
        <v>3.62</v>
      </c>
      <c r="Z37" s="22">
        <v>3.8</v>
      </c>
      <c r="AA37" s="22">
        <v>3.35</v>
      </c>
      <c r="AB37" s="22">
        <v>3.25</v>
      </c>
      <c r="AC37" s="22">
        <v>3.45</v>
      </c>
      <c r="AD37" s="22">
        <v>3.35</v>
      </c>
      <c r="AE37" s="22">
        <v>3.91</v>
      </c>
      <c r="AF37" s="22">
        <v>3.8</v>
      </c>
      <c r="AG37" s="22">
        <v>4.01</v>
      </c>
      <c r="AH37" s="22">
        <v>3.9</v>
      </c>
    </row>
    <row r="38" spans="1:34" ht="15" customHeight="1" x14ac:dyDescent="0.3">
      <c r="A38" s="38" t="s">
        <v>70</v>
      </c>
      <c r="B38" s="22" t="s">
        <v>184</v>
      </c>
      <c r="C38" s="23">
        <v>25</v>
      </c>
      <c r="D38" s="23">
        <v>70</v>
      </c>
      <c r="E38" s="35">
        <v>769503877570</v>
      </c>
      <c r="F38" s="24">
        <v>0.05</v>
      </c>
      <c r="G38" s="24">
        <v>0.05</v>
      </c>
      <c r="H38" s="22">
        <v>2.86</v>
      </c>
      <c r="I38" s="22">
        <v>2.91</v>
      </c>
      <c r="J38" s="22">
        <v>2.96</v>
      </c>
      <c r="K38" s="22">
        <v>2.97</v>
      </c>
      <c r="L38" s="22">
        <v>3.02</v>
      </c>
      <c r="M38" s="22">
        <v>3.07</v>
      </c>
      <c r="N38" s="22">
        <v>3.08</v>
      </c>
      <c r="O38" s="22">
        <v>3.13</v>
      </c>
      <c r="P38" s="22">
        <v>3.18</v>
      </c>
      <c r="Q38" s="22">
        <v>3.19</v>
      </c>
      <c r="R38" s="22">
        <v>3.24</v>
      </c>
      <c r="S38" s="22">
        <v>3.29</v>
      </c>
      <c r="T38" s="22">
        <f t="shared" si="0"/>
        <v>2.86</v>
      </c>
      <c r="U38" s="22">
        <f t="shared" si="1"/>
        <v>2.9099999999999997</v>
      </c>
      <c r="V38" s="22">
        <v>3.35</v>
      </c>
      <c r="W38" s="22">
        <v>3.4</v>
      </c>
      <c r="X38" s="22">
        <v>3.88</v>
      </c>
      <c r="Y38" s="22">
        <v>3.18</v>
      </c>
      <c r="Z38" s="22">
        <v>3.34</v>
      </c>
      <c r="AA38" s="22">
        <v>2.9099999999999997</v>
      </c>
      <c r="AB38" s="22">
        <v>2.86</v>
      </c>
      <c r="AC38" s="22">
        <v>3.01</v>
      </c>
      <c r="AD38" s="22">
        <v>2.96</v>
      </c>
      <c r="AE38" s="22">
        <v>3.4</v>
      </c>
      <c r="AF38" s="22">
        <v>3.35</v>
      </c>
      <c r="AG38" s="22">
        <v>3.5</v>
      </c>
      <c r="AH38" s="22">
        <v>3.45</v>
      </c>
    </row>
    <row r="39" spans="1:34" ht="15" customHeight="1" x14ac:dyDescent="0.3">
      <c r="A39" s="37" t="s">
        <v>134</v>
      </c>
      <c r="B39" s="19"/>
      <c r="C39" s="25"/>
      <c r="D39" s="25"/>
      <c r="E39" s="19"/>
      <c r="F39" s="20">
        <v>0</v>
      </c>
      <c r="G39" s="20">
        <v>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spans="1:34" ht="15" customHeight="1" x14ac:dyDescent="0.3">
      <c r="A40" s="38" t="s">
        <v>138</v>
      </c>
      <c r="B40" s="22" t="s">
        <v>198</v>
      </c>
      <c r="C40" s="23">
        <v>40</v>
      </c>
      <c r="D40" s="23">
        <v>85</v>
      </c>
      <c r="E40" s="35">
        <v>5061050670013</v>
      </c>
      <c r="F40" s="24">
        <v>0.1</v>
      </c>
      <c r="G40" s="24">
        <v>0.05</v>
      </c>
      <c r="H40" s="22">
        <v>4.25</v>
      </c>
      <c r="I40" s="22">
        <v>4.3</v>
      </c>
      <c r="J40" s="22">
        <v>4.3499999999999996</v>
      </c>
      <c r="K40" s="22">
        <v>4.3499999999999996</v>
      </c>
      <c r="L40" s="22">
        <v>4.4000000000000004</v>
      </c>
      <c r="M40" s="22">
        <v>4.45</v>
      </c>
      <c r="N40" s="22">
        <v>4.45</v>
      </c>
      <c r="O40" s="22">
        <v>4.5</v>
      </c>
      <c r="P40" s="22">
        <v>4.55</v>
      </c>
      <c r="Q40" s="22">
        <v>4.5999999999999996</v>
      </c>
      <c r="R40" s="22">
        <v>4.6500000000000004</v>
      </c>
      <c r="S40" s="22">
        <v>4.7</v>
      </c>
      <c r="T40" s="22">
        <f t="shared" si="0"/>
        <v>4.25</v>
      </c>
      <c r="U40" s="22">
        <f t="shared" si="1"/>
        <v>4.3499999999999996</v>
      </c>
      <c r="V40" s="22">
        <f>SUM(T40*1.17)</f>
        <v>4.9725000000000001</v>
      </c>
      <c r="W40" s="22">
        <f>SUM(V40+F40)</f>
        <v>5.0724999999999998</v>
      </c>
      <c r="X40" s="22">
        <v>4.95</v>
      </c>
      <c r="Y40" s="22">
        <v>4.5199999999999996</v>
      </c>
      <c r="Z40" s="22">
        <v>4.75</v>
      </c>
      <c r="AA40" s="22">
        <v>4.3499999999999996</v>
      </c>
      <c r="AB40" s="22">
        <v>4.25</v>
      </c>
      <c r="AC40" s="22">
        <v>4.4499999999999993</v>
      </c>
      <c r="AD40" s="22">
        <v>4.3499999999999996</v>
      </c>
      <c r="AE40" s="22">
        <v>5.0724999999999998</v>
      </c>
      <c r="AF40" s="22">
        <v>4.9725000000000001</v>
      </c>
      <c r="AG40" s="22">
        <v>5.1724999999999994</v>
      </c>
      <c r="AH40" s="22">
        <v>5.0724999999999998</v>
      </c>
    </row>
    <row r="41" spans="1:34" ht="15" customHeight="1" x14ac:dyDescent="0.3">
      <c r="A41" s="38" t="s">
        <v>139</v>
      </c>
      <c r="B41" s="22" t="s">
        <v>199</v>
      </c>
      <c r="C41" s="23">
        <v>40</v>
      </c>
      <c r="D41" s="23">
        <v>85</v>
      </c>
      <c r="E41" s="35">
        <v>5061050670020</v>
      </c>
      <c r="F41" s="24">
        <v>0.05</v>
      </c>
      <c r="G41" s="24">
        <v>0.05</v>
      </c>
      <c r="H41" s="22">
        <v>4.25</v>
      </c>
      <c r="I41" s="22">
        <v>4.3</v>
      </c>
      <c r="J41" s="22">
        <v>4.3499999999999996</v>
      </c>
      <c r="K41" s="22">
        <v>4.3499999999999996</v>
      </c>
      <c r="L41" s="22">
        <v>4.4000000000000004</v>
      </c>
      <c r="M41" s="12">
        <v>4.45</v>
      </c>
      <c r="N41" s="22">
        <v>4.45</v>
      </c>
      <c r="O41" s="22">
        <v>4.5</v>
      </c>
      <c r="P41" s="22">
        <v>4.55</v>
      </c>
      <c r="Q41" s="22">
        <v>4.5999999999999996</v>
      </c>
      <c r="R41" s="22">
        <v>4.6500000000000004</v>
      </c>
      <c r="S41" s="22">
        <v>4.7</v>
      </c>
      <c r="T41" s="22">
        <f t="shared" si="0"/>
        <v>4.25</v>
      </c>
      <c r="U41" s="22">
        <f t="shared" si="1"/>
        <v>4.3</v>
      </c>
      <c r="V41" s="22">
        <f t="shared" ref="V41:V43" si="2">SUM(T41*1.17)</f>
        <v>4.9725000000000001</v>
      </c>
      <c r="W41" s="22">
        <f t="shared" ref="W41:W43" si="3">SUM(V41+F41)</f>
        <v>5.0225</v>
      </c>
      <c r="X41" s="22">
        <v>4.95</v>
      </c>
      <c r="Y41" s="22">
        <v>4.5199999999999996</v>
      </c>
      <c r="Z41" s="22">
        <v>4.75</v>
      </c>
      <c r="AA41" s="22">
        <v>4.3</v>
      </c>
      <c r="AB41" s="22">
        <v>4.25</v>
      </c>
      <c r="AC41" s="22">
        <v>4.3999999999999995</v>
      </c>
      <c r="AD41" s="22">
        <v>4.3499999999999996</v>
      </c>
      <c r="AE41" s="22">
        <v>5.0225</v>
      </c>
      <c r="AF41" s="22">
        <v>4.9725000000000001</v>
      </c>
      <c r="AG41" s="22">
        <v>5.1224999999999996</v>
      </c>
      <c r="AH41" s="22">
        <v>5.0724999999999998</v>
      </c>
    </row>
    <row r="42" spans="1:34" ht="15" customHeight="1" x14ac:dyDescent="0.3">
      <c r="A42" s="38" t="s">
        <v>140</v>
      </c>
      <c r="B42" s="22" t="s">
        <v>200</v>
      </c>
      <c r="C42" s="23">
        <v>40</v>
      </c>
      <c r="D42" s="23">
        <v>85</v>
      </c>
      <c r="E42" s="35">
        <v>5061050670037</v>
      </c>
      <c r="F42" s="24">
        <v>0.05</v>
      </c>
      <c r="G42" s="24">
        <v>0.05</v>
      </c>
      <c r="H42" s="22">
        <v>4.25</v>
      </c>
      <c r="I42" s="22">
        <v>4.3</v>
      </c>
      <c r="J42" s="22">
        <v>4.3499999999999996</v>
      </c>
      <c r="K42" s="22">
        <v>4.3499999999999996</v>
      </c>
      <c r="L42" s="22">
        <v>4.4000000000000004</v>
      </c>
      <c r="M42" s="22">
        <v>4.45</v>
      </c>
      <c r="N42" s="22">
        <v>4.45</v>
      </c>
      <c r="O42" s="22">
        <v>4.5</v>
      </c>
      <c r="P42" s="22">
        <v>4.55</v>
      </c>
      <c r="Q42" s="22">
        <v>4.5999999999999996</v>
      </c>
      <c r="R42" s="22">
        <v>4.6500000000000004</v>
      </c>
      <c r="S42" s="22">
        <v>4.7</v>
      </c>
      <c r="T42" s="22">
        <f t="shared" si="0"/>
        <v>4.25</v>
      </c>
      <c r="U42" s="22">
        <f t="shared" si="1"/>
        <v>4.3</v>
      </c>
      <c r="V42" s="22">
        <f t="shared" si="2"/>
        <v>4.9725000000000001</v>
      </c>
      <c r="W42" s="22">
        <f t="shared" si="3"/>
        <v>5.0225</v>
      </c>
      <c r="X42" s="22">
        <v>4.95</v>
      </c>
      <c r="Y42" s="22">
        <v>4.5199999999999996</v>
      </c>
      <c r="Z42" s="22">
        <v>4.75</v>
      </c>
      <c r="AA42" s="22">
        <v>4.3</v>
      </c>
      <c r="AB42" s="22">
        <v>4.25</v>
      </c>
      <c r="AC42" s="22">
        <v>4.3999999999999995</v>
      </c>
      <c r="AD42" s="22">
        <v>4.3499999999999996</v>
      </c>
      <c r="AE42" s="22">
        <v>5.0225</v>
      </c>
      <c r="AF42" s="22">
        <v>4.9725000000000001</v>
      </c>
      <c r="AG42" s="22">
        <v>5.1224999999999996</v>
      </c>
      <c r="AH42" s="22">
        <v>5.0724999999999998</v>
      </c>
    </row>
    <row r="43" spans="1:34" ht="15" customHeight="1" x14ac:dyDescent="0.3">
      <c r="A43" s="38" t="s">
        <v>141</v>
      </c>
      <c r="B43" s="22" t="s">
        <v>201</v>
      </c>
      <c r="C43" s="23">
        <v>25</v>
      </c>
      <c r="D43" s="23">
        <v>75</v>
      </c>
      <c r="E43" s="35">
        <v>5061050670044</v>
      </c>
      <c r="F43" s="24">
        <v>0.05</v>
      </c>
      <c r="G43" s="24">
        <v>0.05</v>
      </c>
      <c r="H43" s="22">
        <v>3.09</v>
      </c>
      <c r="I43" s="22">
        <v>3.14</v>
      </c>
      <c r="J43" s="22">
        <v>3.19</v>
      </c>
      <c r="K43" s="22">
        <v>3.19</v>
      </c>
      <c r="L43" s="22">
        <v>3.24</v>
      </c>
      <c r="M43" s="22">
        <v>3.29</v>
      </c>
      <c r="N43" s="12">
        <v>3.29</v>
      </c>
      <c r="O43" s="22">
        <v>3.34</v>
      </c>
      <c r="P43" s="22">
        <v>3.39</v>
      </c>
      <c r="Q43" s="22">
        <v>3.39</v>
      </c>
      <c r="R43" s="22">
        <v>3.44</v>
      </c>
      <c r="S43" s="22">
        <v>3.49</v>
      </c>
      <c r="T43" s="22">
        <f t="shared" si="0"/>
        <v>3.09</v>
      </c>
      <c r="U43" s="22">
        <f t="shared" si="1"/>
        <v>3.1399999999999997</v>
      </c>
      <c r="V43" s="22">
        <f t="shared" si="2"/>
        <v>3.6152999999999995</v>
      </c>
      <c r="W43" s="22">
        <f t="shared" si="3"/>
        <v>3.6652999999999993</v>
      </c>
      <c r="X43" s="22">
        <v>3.79</v>
      </c>
      <c r="Y43" s="22">
        <v>3.39</v>
      </c>
      <c r="Z43" s="22">
        <v>3.6</v>
      </c>
      <c r="AA43" s="22">
        <v>3.1399999999999997</v>
      </c>
      <c r="AB43" s="22">
        <v>3.09</v>
      </c>
      <c r="AC43" s="22">
        <v>3.2399999999999998</v>
      </c>
      <c r="AD43" s="22">
        <v>3.19</v>
      </c>
      <c r="AE43" s="22">
        <v>3.6652999999999993</v>
      </c>
      <c r="AF43" s="22">
        <v>3.6152999999999995</v>
      </c>
      <c r="AG43" s="22">
        <v>3.7652999999999994</v>
      </c>
      <c r="AH43" s="22">
        <v>3.7152999999999996</v>
      </c>
    </row>
    <row r="44" spans="1:34" ht="15" customHeight="1" x14ac:dyDescent="0.3">
      <c r="A44" s="37" t="s">
        <v>135</v>
      </c>
      <c r="B44" s="19"/>
      <c r="C44" s="25"/>
      <c r="D44" s="25"/>
      <c r="E44" s="19"/>
      <c r="F44" s="20">
        <v>0</v>
      </c>
      <c r="G44" s="20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ht="15" customHeight="1" x14ac:dyDescent="0.3">
      <c r="A45" s="38" t="s">
        <v>38</v>
      </c>
      <c r="B45" s="22" t="s">
        <v>185</v>
      </c>
      <c r="C45" s="23">
        <v>20</v>
      </c>
      <c r="D45" s="23">
        <v>140</v>
      </c>
      <c r="E45" s="33">
        <v>769503877600</v>
      </c>
      <c r="F45" s="24">
        <v>0.1</v>
      </c>
      <c r="G45" s="24">
        <v>0.05</v>
      </c>
      <c r="H45" s="22">
        <v>1.95</v>
      </c>
      <c r="I45" s="22">
        <v>2.0499999999999998</v>
      </c>
      <c r="J45" s="22">
        <v>2.1</v>
      </c>
      <c r="K45" s="22">
        <v>2.0299999999999998</v>
      </c>
      <c r="L45" s="22">
        <v>2.13</v>
      </c>
      <c r="M45" s="22">
        <v>2.1800000000000002</v>
      </c>
      <c r="N45" s="22">
        <v>2.1</v>
      </c>
      <c r="O45" s="22">
        <v>2.2000000000000002</v>
      </c>
      <c r="P45" s="22">
        <v>2.25</v>
      </c>
      <c r="Q45" s="22">
        <v>2.2000000000000002</v>
      </c>
      <c r="R45" s="22">
        <v>2.2999999999999998</v>
      </c>
      <c r="S45" s="22">
        <v>2.35</v>
      </c>
      <c r="T45" s="22">
        <f t="shared" si="0"/>
        <v>1.95</v>
      </c>
      <c r="U45" s="22">
        <f t="shared" si="1"/>
        <v>2.0499999999999998</v>
      </c>
      <c r="V45" s="22">
        <v>2.29</v>
      </c>
      <c r="W45" s="22">
        <v>2.4</v>
      </c>
      <c r="X45" s="22">
        <v>2.4500000000000002</v>
      </c>
      <c r="Y45" s="22">
        <v>2.2400000000000002</v>
      </c>
      <c r="Z45" s="22">
        <v>2.36</v>
      </c>
      <c r="AA45" s="22">
        <v>2.0499999999999998</v>
      </c>
      <c r="AB45" s="22">
        <v>1.95</v>
      </c>
      <c r="AC45" s="22">
        <v>2.15</v>
      </c>
      <c r="AD45" s="22">
        <v>2.0499999999999998</v>
      </c>
      <c r="AE45" s="22">
        <v>2.4</v>
      </c>
      <c r="AF45" s="22">
        <v>2.29</v>
      </c>
      <c r="AG45" s="22">
        <v>2.5</v>
      </c>
      <c r="AH45" s="22">
        <v>2.39</v>
      </c>
    </row>
    <row r="46" spans="1:34" ht="15" customHeight="1" x14ac:dyDescent="0.3">
      <c r="A46" s="38" t="s">
        <v>38</v>
      </c>
      <c r="B46" s="22" t="s">
        <v>186</v>
      </c>
      <c r="C46" s="23">
        <v>50</v>
      </c>
      <c r="D46" s="23">
        <v>70</v>
      </c>
      <c r="E46" s="35">
        <v>604565380609</v>
      </c>
      <c r="F46" s="24">
        <v>0.05</v>
      </c>
      <c r="G46" s="24">
        <v>0.05</v>
      </c>
      <c r="H46" s="22">
        <v>3.32</v>
      </c>
      <c r="I46" s="22">
        <v>3.37</v>
      </c>
      <c r="J46" s="22">
        <v>3.42</v>
      </c>
      <c r="K46" s="22">
        <v>3.45</v>
      </c>
      <c r="L46" s="22">
        <v>3.49</v>
      </c>
      <c r="M46" s="22">
        <v>3.54</v>
      </c>
      <c r="N46" s="22">
        <v>3.59</v>
      </c>
      <c r="O46" s="22">
        <v>3.64</v>
      </c>
      <c r="P46" s="22">
        <v>3.64</v>
      </c>
      <c r="Q46" s="22">
        <v>3.79</v>
      </c>
      <c r="R46" s="22">
        <v>3.84</v>
      </c>
      <c r="S46" s="22">
        <v>3.89</v>
      </c>
      <c r="T46" s="22">
        <f t="shared" si="0"/>
        <v>3.32</v>
      </c>
      <c r="U46" s="22">
        <f t="shared" si="1"/>
        <v>3.3699999999999997</v>
      </c>
      <c r="V46" s="22">
        <v>4.2699999999999996</v>
      </c>
      <c r="W46" s="22">
        <v>4.33</v>
      </c>
      <c r="X46" s="22">
        <v>3.82</v>
      </c>
      <c r="Y46" s="22">
        <v>3.66</v>
      </c>
      <c r="Z46" s="22">
        <v>3.84</v>
      </c>
      <c r="AA46" s="22">
        <v>3.3699999999999997</v>
      </c>
      <c r="AB46" s="22">
        <v>3.32</v>
      </c>
      <c r="AC46" s="22">
        <v>3.4699999999999998</v>
      </c>
      <c r="AD46" s="22">
        <v>3.42</v>
      </c>
      <c r="AE46" s="22">
        <v>4.33</v>
      </c>
      <c r="AF46" s="22">
        <v>4.2699999999999996</v>
      </c>
      <c r="AG46" s="22">
        <v>4.43</v>
      </c>
      <c r="AH46" s="22">
        <v>4.3699999999999992</v>
      </c>
    </row>
    <row r="47" spans="1:34" ht="15" customHeight="1" x14ac:dyDescent="0.3">
      <c r="A47" s="38" t="s">
        <v>39</v>
      </c>
      <c r="B47" s="22" t="s">
        <v>187</v>
      </c>
      <c r="C47" s="23">
        <v>50</v>
      </c>
      <c r="D47" s="23">
        <v>70</v>
      </c>
      <c r="E47" s="35">
        <v>604565380616</v>
      </c>
      <c r="F47" s="24">
        <v>0.05</v>
      </c>
      <c r="G47" s="24">
        <v>0.05</v>
      </c>
      <c r="H47" s="22">
        <v>3.32</v>
      </c>
      <c r="I47" s="22">
        <v>3.37</v>
      </c>
      <c r="J47" s="22">
        <v>3.42</v>
      </c>
      <c r="K47" s="22">
        <v>3.45</v>
      </c>
      <c r="L47" s="22">
        <v>3.49</v>
      </c>
      <c r="M47" s="22">
        <v>3.54</v>
      </c>
      <c r="N47" s="22">
        <v>3.59</v>
      </c>
      <c r="O47" s="22">
        <v>3.64</v>
      </c>
      <c r="P47" s="22">
        <v>3.64</v>
      </c>
      <c r="Q47" s="22">
        <v>3.79</v>
      </c>
      <c r="R47" s="22">
        <v>3.84</v>
      </c>
      <c r="S47" s="22">
        <v>3.89</v>
      </c>
      <c r="T47" s="22">
        <f t="shared" si="0"/>
        <v>3.32</v>
      </c>
      <c r="U47" s="22">
        <f t="shared" si="1"/>
        <v>3.3699999999999997</v>
      </c>
      <c r="V47" s="22">
        <v>4.2699999999999996</v>
      </c>
      <c r="W47" s="22">
        <v>4.33</v>
      </c>
      <c r="X47" s="22">
        <v>3.82</v>
      </c>
      <c r="Y47" s="22">
        <v>3.66</v>
      </c>
      <c r="Z47" s="22">
        <v>3.84</v>
      </c>
      <c r="AA47" s="22">
        <v>3.3699999999999997</v>
      </c>
      <c r="AB47" s="22">
        <v>3.32</v>
      </c>
      <c r="AC47" s="22">
        <v>3.4699999999999998</v>
      </c>
      <c r="AD47" s="22">
        <v>3.42</v>
      </c>
      <c r="AE47" s="22">
        <v>4.33</v>
      </c>
      <c r="AF47" s="22">
        <v>4.2699999999999996</v>
      </c>
      <c r="AG47" s="22">
        <v>4.43</v>
      </c>
      <c r="AH47" s="22">
        <v>4.3699999999999992</v>
      </c>
    </row>
    <row r="48" spans="1:34" ht="15" customHeight="1" x14ac:dyDescent="0.3">
      <c r="A48" s="38" t="s">
        <v>40</v>
      </c>
      <c r="B48" s="22" t="s">
        <v>188</v>
      </c>
      <c r="C48" s="23">
        <v>50</v>
      </c>
      <c r="D48" s="23">
        <v>70</v>
      </c>
      <c r="E48" s="35">
        <v>604565380623</v>
      </c>
      <c r="F48" s="24">
        <v>0.05</v>
      </c>
      <c r="G48" s="24">
        <v>0.05</v>
      </c>
      <c r="H48" s="22">
        <v>3.32</v>
      </c>
      <c r="I48" s="22">
        <v>3.37</v>
      </c>
      <c r="J48" s="22">
        <v>3.42</v>
      </c>
      <c r="K48" s="22">
        <v>3.45</v>
      </c>
      <c r="L48" s="22">
        <v>3.49</v>
      </c>
      <c r="M48" s="22">
        <v>3.54</v>
      </c>
      <c r="N48" s="22">
        <v>3.59</v>
      </c>
      <c r="O48" s="22">
        <v>3.64</v>
      </c>
      <c r="P48" s="22">
        <v>3.64</v>
      </c>
      <c r="Q48" s="22">
        <v>3.79</v>
      </c>
      <c r="R48" s="22">
        <v>3.84</v>
      </c>
      <c r="S48" s="22">
        <v>3.89</v>
      </c>
      <c r="T48" s="22">
        <f t="shared" si="0"/>
        <v>3.32</v>
      </c>
      <c r="U48" s="22">
        <f t="shared" si="1"/>
        <v>3.3699999999999997</v>
      </c>
      <c r="V48" s="22">
        <v>4.2699999999999996</v>
      </c>
      <c r="W48" s="22">
        <v>4.33</v>
      </c>
      <c r="X48" s="22">
        <v>3.82</v>
      </c>
      <c r="Y48" s="22">
        <v>3.66</v>
      </c>
      <c r="Z48" s="22">
        <v>3.84</v>
      </c>
      <c r="AA48" s="22">
        <v>3.3699999999999997</v>
      </c>
      <c r="AB48" s="22">
        <v>3.32</v>
      </c>
      <c r="AC48" s="22">
        <v>3.4699999999999998</v>
      </c>
      <c r="AD48" s="22">
        <v>3.42</v>
      </c>
      <c r="AE48" s="22">
        <v>4.33</v>
      </c>
      <c r="AF48" s="22">
        <v>4.2699999999999996</v>
      </c>
      <c r="AG48" s="22">
        <v>4.43</v>
      </c>
      <c r="AH48" s="22">
        <v>4.3699999999999992</v>
      </c>
    </row>
    <row r="49" spans="1:34" ht="15" customHeight="1" x14ac:dyDescent="0.3">
      <c r="A49" s="38" t="s">
        <v>66</v>
      </c>
      <c r="B49" s="22" t="s">
        <v>189</v>
      </c>
      <c r="C49" s="23">
        <v>50</v>
      </c>
      <c r="D49" s="23">
        <v>70</v>
      </c>
      <c r="E49" s="35">
        <v>725765023230</v>
      </c>
      <c r="F49" s="24">
        <v>0.05</v>
      </c>
      <c r="G49" s="24">
        <v>0.05</v>
      </c>
      <c r="H49" s="22">
        <v>3.59</v>
      </c>
      <c r="I49" s="22">
        <v>3.64</v>
      </c>
      <c r="J49" s="22">
        <v>3.69</v>
      </c>
      <c r="K49" s="22">
        <v>3.69</v>
      </c>
      <c r="L49" s="22">
        <v>3.74</v>
      </c>
      <c r="M49" s="22">
        <v>3.79</v>
      </c>
      <c r="N49" s="22">
        <v>3.79</v>
      </c>
      <c r="O49" s="22">
        <v>3.84</v>
      </c>
      <c r="P49" s="22">
        <v>3.84</v>
      </c>
      <c r="Q49" s="22">
        <v>3.89</v>
      </c>
      <c r="R49" s="22">
        <v>3.94</v>
      </c>
      <c r="S49" s="22">
        <v>3.99</v>
      </c>
      <c r="T49" s="22">
        <f t="shared" si="0"/>
        <v>3.59</v>
      </c>
      <c r="U49" s="22">
        <f t="shared" si="1"/>
        <v>3.6399999999999997</v>
      </c>
      <c r="V49" s="22">
        <v>4.59</v>
      </c>
      <c r="W49" s="22">
        <v>4.6500000000000004</v>
      </c>
      <c r="X49" s="22">
        <v>4.08</v>
      </c>
      <c r="Y49" s="22">
        <v>3.93</v>
      </c>
      <c r="Z49" s="22">
        <v>4.13</v>
      </c>
      <c r="AA49" s="22">
        <v>3.6399999999999997</v>
      </c>
      <c r="AB49" s="22">
        <v>3.59</v>
      </c>
      <c r="AC49" s="22">
        <v>3.7399999999999998</v>
      </c>
      <c r="AD49" s="22">
        <v>3.69</v>
      </c>
      <c r="AE49" s="22">
        <v>4.6500000000000004</v>
      </c>
      <c r="AF49" s="22">
        <v>4.59</v>
      </c>
      <c r="AG49" s="22">
        <v>4.75</v>
      </c>
      <c r="AH49" s="22">
        <v>4.6899999999999995</v>
      </c>
    </row>
    <row r="50" spans="1:34" ht="15" customHeight="1" x14ac:dyDescent="0.3">
      <c r="A50" s="38" t="s">
        <v>67</v>
      </c>
      <c r="B50" s="22" t="s">
        <v>190</v>
      </c>
      <c r="C50" s="23">
        <v>50</v>
      </c>
      <c r="D50" s="23">
        <v>70</v>
      </c>
      <c r="E50" s="35">
        <v>725765023223</v>
      </c>
      <c r="F50" s="24">
        <v>0.05</v>
      </c>
      <c r="G50" s="24">
        <v>0.05</v>
      </c>
      <c r="H50" s="22">
        <v>3.32</v>
      </c>
      <c r="I50" s="22">
        <v>3.37</v>
      </c>
      <c r="J50" s="22">
        <v>3.42</v>
      </c>
      <c r="K50" s="22">
        <v>3.45</v>
      </c>
      <c r="L50" s="22">
        <v>3.49</v>
      </c>
      <c r="M50" s="22">
        <v>3.54</v>
      </c>
      <c r="N50" s="22">
        <v>3.59</v>
      </c>
      <c r="O50" s="22">
        <v>3.64</v>
      </c>
      <c r="P50" s="22">
        <v>3.64</v>
      </c>
      <c r="Q50" s="22">
        <v>3.79</v>
      </c>
      <c r="R50" s="22">
        <v>3.84</v>
      </c>
      <c r="S50" s="22">
        <v>3.89</v>
      </c>
      <c r="T50" s="22">
        <f t="shared" si="0"/>
        <v>3.32</v>
      </c>
      <c r="U50" s="22">
        <f t="shared" si="1"/>
        <v>3.3699999999999997</v>
      </c>
      <c r="V50" s="22">
        <v>4.2699999999999996</v>
      </c>
      <c r="W50" s="22">
        <v>4.33</v>
      </c>
      <c r="X50" s="22">
        <v>3.82</v>
      </c>
      <c r="Y50" s="22">
        <v>3.66</v>
      </c>
      <c r="Z50" s="22">
        <v>3.84</v>
      </c>
      <c r="AA50" s="22">
        <v>3.3699999999999997</v>
      </c>
      <c r="AB50" s="22">
        <v>3.32</v>
      </c>
      <c r="AC50" s="22">
        <v>3.4699999999999998</v>
      </c>
      <c r="AD50" s="22">
        <v>3.42</v>
      </c>
      <c r="AE50" s="22">
        <v>4.33</v>
      </c>
      <c r="AF50" s="22">
        <v>4.2699999999999996</v>
      </c>
      <c r="AG50" s="22">
        <v>4.43</v>
      </c>
      <c r="AH50" s="22">
        <v>4.3699999999999992</v>
      </c>
    </row>
    <row r="51" spans="1:34" ht="15" customHeight="1" x14ac:dyDescent="0.3">
      <c r="A51" s="38" t="s">
        <v>68</v>
      </c>
      <c r="B51" s="22" t="s">
        <v>191</v>
      </c>
      <c r="C51" s="23">
        <v>56</v>
      </c>
      <c r="D51" s="23">
        <v>80</v>
      </c>
      <c r="E51" s="35">
        <v>725765023247</v>
      </c>
      <c r="F51" s="24">
        <v>0.1</v>
      </c>
      <c r="G51" s="24">
        <v>0.05</v>
      </c>
      <c r="H51" s="22">
        <v>3.65</v>
      </c>
      <c r="I51" s="22">
        <v>3.75</v>
      </c>
      <c r="J51" s="22">
        <v>3.8</v>
      </c>
      <c r="K51" s="22">
        <v>3.8</v>
      </c>
      <c r="L51" s="22">
        <v>3.9</v>
      </c>
      <c r="M51" s="22">
        <v>3.95</v>
      </c>
      <c r="N51" s="22">
        <v>3.95</v>
      </c>
      <c r="O51" s="22">
        <v>4.05</v>
      </c>
      <c r="P51" s="22">
        <v>4.0999999999999996</v>
      </c>
      <c r="Q51" s="22">
        <v>4.0999999999999996</v>
      </c>
      <c r="R51" s="22">
        <v>4.2</v>
      </c>
      <c r="S51" s="22">
        <v>4.25</v>
      </c>
      <c r="T51" s="22">
        <f t="shared" si="0"/>
        <v>3.65</v>
      </c>
      <c r="U51" s="22">
        <f t="shared" si="1"/>
        <v>3.75</v>
      </c>
      <c r="V51" s="22">
        <v>4.75</v>
      </c>
      <c r="W51" s="22">
        <v>4.87</v>
      </c>
      <c r="X51" s="22">
        <v>4.88</v>
      </c>
      <c r="Y51" s="22">
        <v>4.0999999999999996</v>
      </c>
      <c r="Z51" s="22">
        <v>4.3099999999999996</v>
      </c>
      <c r="AA51" s="22">
        <v>3.75</v>
      </c>
      <c r="AB51" s="22">
        <v>3.65</v>
      </c>
      <c r="AC51" s="22">
        <v>3.85</v>
      </c>
      <c r="AD51" s="22">
        <v>3.75</v>
      </c>
      <c r="AE51" s="22">
        <v>4.87</v>
      </c>
      <c r="AF51" s="22">
        <v>4.75</v>
      </c>
      <c r="AG51" s="22">
        <v>4.97</v>
      </c>
      <c r="AH51" s="22">
        <v>4.8499999999999996</v>
      </c>
    </row>
    <row r="52" spans="1:34" ht="15" customHeight="1" x14ac:dyDescent="0.3">
      <c r="A52" s="37" t="s">
        <v>136</v>
      </c>
      <c r="B52" s="19"/>
      <c r="C52" s="25"/>
      <c r="D52" s="25"/>
      <c r="E52" s="19"/>
      <c r="F52" s="20">
        <v>0</v>
      </c>
      <c r="G52" s="20">
        <v>0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 ht="15" customHeight="1" x14ac:dyDescent="0.3">
      <c r="A53" s="38" t="s">
        <v>24</v>
      </c>
      <c r="B53" s="22" t="s">
        <v>192</v>
      </c>
      <c r="C53" s="23">
        <v>50</v>
      </c>
      <c r="D53" s="23">
        <v>80</v>
      </c>
      <c r="E53" s="34">
        <v>604565380548</v>
      </c>
      <c r="F53" s="24">
        <v>0.1</v>
      </c>
      <c r="G53" s="24">
        <v>0.05</v>
      </c>
      <c r="H53" s="22">
        <v>3.25</v>
      </c>
      <c r="I53" s="22">
        <v>3.35</v>
      </c>
      <c r="J53" s="22">
        <v>3.4</v>
      </c>
      <c r="K53" s="22">
        <v>3.38</v>
      </c>
      <c r="L53" s="22">
        <v>3.48</v>
      </c>
      <c r="M53" s="22">
        <v>3.53</v>
      </c>
      <c r="N53" s="22">
        <v>3.51</v>
      </c>
      <c r="O53" s="22">
        <v>3.61</v>
      </c>
      <c r="P53" s="22">
        <v>3.66</v>
      </c>
      <c r="Q53" s="22">
        <v>3.7</v>
      </c>
      <c r="R53" s="22">
        <v>3.8</v>
      </c>
      <c r="S53" s="22">
        <v>3.85</v>
      </c>
      <c r="T53" s="22">
        <f t="shared" si="0"/>
        <v>3.25</v>
      </c>
      <c r="U53" s="22">
        <f t="shared" si="1"/>
        <v>3.35</v>
      </c>
      <c r="V53" s="22">
        <v>3.8</v>
      </c>
      <c r="W53" s="22">
        <v>3.92</v>
      </c>
      <c r="X53" s="22">
        <v>4.05</v>
      </c>
      <c r="Y53" s="22">
        <v>3.67</v>
      </c>
      <c r="Z53" s="22">
        <v>3.85</v>
      </c>
      <c r="AA53" s="22">
        <v>3.35</v>
      </c>
      <c r="AB53" s="22">
        <v>3.25</v>
      </c>
      <c r="AC53" s="22">
        <v>3.45</v>
      </c>
      <c r="AD53" s="22">
        <v>3.35</v>
      </c>
      <c r="AE53" s="22">
        <v>3.92</v>
      </c>
      <c r="AF53" s="22">
        <v>3.8</v>
      </c>
      <c r="AG53" s="22">
        <v>4.0199999999999996</v>
      </c>
      <c r="AH53" s="22">
        <v>3.9</v>
      </c>
    </row>
    <row r="54" spans="1:34" ht="15" customHeight="1" x14ac:dyDescent="0.3">
      <c r="A54" s="38" t="s">
        <v>25</v>
      </c>
      <c r="B54" s="22" t="s">
        <v>193</v>
      </c>
      <c r="C54" s="23">
        <v>56</v>
      </c>
      <c r="D54" s="23">
        <v>80</v>
      </c>
      <c r="E54" s="34">
        <v>604565380562</v>
      </c>
      <c r="F54" s="24">
        <v>0.1</v>
      </c>
      <c r="G54" s="24">
        <v>0.05</v>
      </c>
      <c r="H54" s="22">
        <v>2.85</v>
      </c>
      <c r="I54" s="22">
        <v>2.95</v>
      </c>
      <c r="J54" s="22">
        <v>3</v>
      </c>
      <c r="K54" s="22">
        <v>2.97</v>
      </c>
      <c r="L54" s="22">
        <v>3.07</v>
      </c>
      <c r="M54" s="22">
        <v>3.12</v>
      </c>
      <c r="N54" s="22">
        <v>3.08</v>
      </c>
      <c r="O54" s="22">
        <v>3.18</v>
      </c>
      <c r="P54" s="22">
        <v>3.23</v>
      </c>
      <c r="Q54" s="22">
        <v>3.25</v>
      </c>
      <c r="R54" s="22">
        <v>3.35</v>
      </c>
      <c r="S54" s="22">
        <v>3.4</v>
      </c>
      <c r="T54" s="22">
        <f t="shared" si="0"/>
        <v>2.85</v>
      </c>
      <c r="U54" s="22">
        <f t="shared" si="1"/>
        <v>2.95</v>
      </c>
      <c r="V54" s="22">
        <v>3.33</v>
      </c>
      <c r="W54" s="22">
        <v>3.45</v>
      </c>
      <c r="X54" s="22">
        <v>3.68</v>
      </c>
      <c r="Y54" s="22">
        <v>3.23</v>
      </c>
      <c r="Z54" s="22">
        <v>3.39</v>
      </c>
      <c r="AA54" s="22">
        <v>2.95</v>
      </c>
      <c r="AB54" s="22">
        <v>2.85</v>
      </c>
      <c r="AC54" s="22">
        <v>3.0500000000000003</v>
      </c>
      <c r="AD54" s="22">
        <v>2.95</v>
      </c>
      <c r="AE54" s="22">
        <v>3.45</v>
      </c>
      <c r="AF54" s="22">
        <v>3.33</v>
      </c>
      <c r="AG54" s="22">
        <v>3.5500000000000003</v>
      </c>
      <c r="AH54" s="22">
        <v>3.43</v>
      </c>
    </row>
    <row r="55" spans="1:34" ht="15" customHeight="1" x14ac:dyDescent="0.3">
      <c r="A55" s="37" t="s">
        <v>137</v>
      </c>
      <c r="B55" s="19"/>
      <c r="C55" s="25"/>
      <c r="D55" s="25"/>
      <c r="E55" s="19"/>
      <c r="F55" s="20">
        <v>0</v>
      </c>
      <c r="G55" s="20">
        <v>0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 ht="15" customHeight="1" x14ac:dyDescent="0.3">
      <c r="A56" s="38" t="s">
        <v>10</v>
      </c>
      <c r="B56" s="22" t="s">
        <v>194</v>
      </c>
      <c r="C56" s="23">
        <v>25</v>
      </c>
      <c r="D56" s="23">
        <v>70</v>
      </c>
      <c r="E56" s="34">
        <v>700461243731</v>
      </c>
      <c r="F56" s="24">
        <v>0.1</v>
      </c>
      <c r="G56" s="24">
        <v>0.05</v>
      </c>
      <c r="H56" s="22">
        <v>2.0499999999999998</v>
      </c>
      <c r="I56" s="22">
        <v>2.15</v>
      </c>
      <c r="J56" s="22">
        <v>2.2000000000000002</v>
      </c>
      <c r="K56" s="22">
        <v>2.14</v>
      </c>
      <c r="L56" s="22">
        <v>2.2400000000000002</v>
      </c>
      <c r="M56" s="22">
        <v>2.29</v>
      </c>
      <c r="N56" s="22">
        <v>2.21</v>
      </c>
      <c r="O56" s="22">
        <v>2.31</v>
      </c>
      <c r="P56" s="22">
        <v>2.36</v>
      </c>
      <c r="Q56" s="22">
        <v>2.34</v>
      </c>
      <c r="R56" s="22">
        <v>2.44</v>
      </c>
      <c r="S56" s="22">
        <v>2.4900000000000002</v>
      </c>
      <c r="T56" s="22">
        <f t="shared" si="0"/>
        <v>2.0499999999999998</v>
      </c>
      <c r="U56" s="22">
        <f t="shared" si="1"/>
        <v>2.15</v>
      </c>
      <c r="V56" s="22">
        <v>2.4</v>
      </c>
      <c r="W56" s="22">
        <v>2.5099999999999998</v>
      </c>
      <c r="X56" s="22">
        <v>3.17</v>
      </c>
      <c r="Y56" s="22">
        <v>2.36</v>
      </c>
      <c r="Z56" s="22">
        <v>2.48</v>
      </c>
      <c r="AA56" s="22">
        <v>2.15</v>
      </c>
      <c r="AB56" s="22">
        <v>2.0499999999999998</v>
      </c>
      <c r="AC56" s="22">
        <v>2.25</v>
      </c>
      <c r="AD56" s="22">
        <v>2.15</v>
      </c>
      <c r="AE56" s="22">
        <v>2.5099999999999998</v>
      </c>
      <c r="AF56" s="22">
        <v>2.4</v>
      </c>
      <c r="AG56" s="22">
        <v>2.61</v>
      </c>
      <c r="AH56" s="22">
        <v>2.5</v>
      </c>
    </row>
    <row r="57" spans="1:34" ht="15" customHeight="1" x14ac:dyDescent="0.3">
      <c r="A57" s="38" t="s">
        <v>11</v>
      </c>
      <c r="B57" s="22" t="s">
        <v>195</v>
      </c>
      <c r="C57" s="23">
        <v>25</v>
      </c>
      <c r="D57" s="23">
        <v>70</v>
      </c>
      <c r="E57" s="34">
        <v>700461243748</v>
      </c>
      <c r="F57" s="24">
        <v>0.1</v>
      </c>
      <c r="G57" s="24">
        <v>0.05</v>
      </c>
      <c r="H57" s="22">
        <v>2.0499999999999998</v>
      </c>
      <c r="I57" s="22">
        <v>2.15</v>
      </c>
      <c r="J57" s="22">
        <v>2.2000000000000002</v>
      </c>
      <c r="K57" s="22">
        <v>2.14</v>
      </c>
      <c r="L57" s="22">
        <v>2.2400000000000002</v>
      </c>
      <c r="M57" s="22">
        <v>2.29</v>
      </c>
      <c r="N57" s="22">
        <v>2.21</v>
      </c>
      <c r="O57" s="22">
        <v>2.31</v>
      </c>
      <c r="P57" s="22">
        <v>2.36</v>
      </c>
      <c r="Q57" s="22">
        <v>2.34</v>
      </c>
      <c r="R57" s="22">
        <v>2.44</v>
      </c>
      <c r="S57" s="22">
        <v>2.4900000000000002</v>
      </c>
      <c r="T57" s="22">
        <f t="shared" si="0"/>
        <v>2.0499999999999998</v>
      </c>
      <c r="U57" s="22">
        <f t="shared" si="1"/>
        <v>2.15</v>
      </c>
      <c r="V57" s="22">
        <v>2.4</v>
      </c>
      <c r="W57" s="22">
        <v>2.5099999999999998</v>
      </c>
      <c r="X57" s="22">
        <v>3.17</v>
      </c>
      <c r="Y57" s="22">
        <v>2.36</v>
      </c>
      <c r="Z57" s="22">
        <v>2.48</v>
      </c>
      <c r="AA57" s="22">
        <v>2.15</v>
      </c>
      <c r="AB57" s="22">
        <v>2.0499999999999998</v>
      </c>
      <c r="AC57" s="22">
        <v>2.25</v>
      </c>
      <c r="AD57" s="22">
        <v>2.15</v>
      </c>
      <c r="AE57" s="22">
        <v>2.5099999999999998</v>
      </c>
      <c r="AF57" s="22">
        <v>2.4</v>
      </c>
      <c r="AG57" s="22">
        <v>2.61</v>
      </c>
      <c r="AH57" s="22">
        <v>2.5</v>
      </c>
    </row>
    <row r="58" spans="1:34" ht="15" customHeight="1" x14ac:dyDescent="0.3">
      <c r="A58" s="38" t="s">
        <v>12</v>
      </c>
      <c r="B58" s="22" t="s">
        <v>196</v>
      </c>
      <c r="C58" s="23">
        <v>25</v>
      </c>
      <c r="D58" s="23">
        <v>70</v>
      </c>
      <c r="E58" s="34">
        <v>700461243755</v>
      </c>
      <c r="F58" s="24">
        <v>0.1</v>
      </c>
      <c r="G58" s="24">
        <v>0.05</v>
      </c>
      <c r="H58" s="22">
        <v>2.0499999999999998</v>
      </c>
      <c r="I58" s="22">
        <v>2.15</v>
      </c>
      <c r="J58" s="22">
        <v>2.2000000000000002</v>
      </c>
      <c r="K58" s="22">
        <v>2.14</v>
      </c>
      <c r="L58" s="22">
        <v>2.2400000000000002</v>
      </c>
      <c r="M58" s="22">
        <v>2.29</v>
      </c>
      <c r="N58" s="22">
        <v>2.21</v>
      </c>
      <c r="O58" s="22">
        <v>2.31</v>
      </c>
      <c r="P58" s="22">
        <v>2.36</v>
      </c>
      <c r="Q58" s="22">
        <v>2.34</v>
      </c>
      <c r="R58" s="22">
        <v>2.44</v>
      </c>
      <c r="S58" s="22">
        <v>2.4900000000000002</v>
      </c>
      <c r="T58" s="22">
        <f t="shared" si="0"/>
        <v>2.0499999999999998</v>
      </c>
      <c r="U58" s="22">
        <f t="shared" si="1"/>
        <v>2.15</v>
      </c>
      <c r="V58" s="22">
        <v>2.4</v>
      </c>
      <c r="W58" s="22">
        <v>2.5099999999999998</v>
      </c>
      <c r="X58" s="22">
        <v>3.17</v>
      </c>
      <c r="Y58" s="22">
        <v>2.36</v>
      </c>
      <c r="Z58" s="22">
        <v>2.48</v>
      </c>
      <c r="AA58" s="22">
        <v>2.15</v>
      </c>
      <c r="AB58" s="22">
        <v>2.0499999999999998</v>
      </c>
      <c r="AC58" s="22">
        <v>2.25</v>
      </c>
      <c r="AD58" s="22">
        <v>2.15</v>
      </c>
      <c r="AE58" s="22">
        <v>2.5099999999999998</v>
      </c>
      <c r="AF58" s="22">
        <v>2.4</v>
      </c>
      <c r="AG58" s="22">
        <v>2.61</v>
      </c>
      <c r="AH58" s="22">
        <v>2.5</v>
      </c>
    </row>
    <row r="59" spans="1:34" ht="15" customHeight="1" x14ac:dyDescent="0.3">
      <c r="A59" s="38" t="s">
        <v>13</v>
      </c>
      <c r="B59" s="22" t="s">
        <v>197</v>
      </c>
      <c r="C59" s="23">
        <v>25</v>
      </c>
      <c r="D59" s="23">
        <v>70</v>
      </c>
      <c r="E59" s="34">
        <v>700461243762</v>
      </c>
      <c r="F59" s="24">
        <v>0.1</v>
      </c>
      <c r="G59" s="24">
        <v>0.05</v>
      </c>
      <c r="H59" s="22">
        <v>2.0499999999999998</v>
      </c>
      <c r="I59" s="22">
        <v>2.15</v>
      </c>
      <c r="J59" s="22">
        <v>2.2000000000000002</v>
      </c>
      <c r="K59" s="22">
        <v>2.14</v>
      </c>
      <c r="L59" s="22">
        <v>2.2400000000000002</v>
      </c>
      <c r="M59" s="22">
        <v>2.29</v>
      </c>
      <c r="N59" s="22">
        <v>2.21</v>
      </c>
      <c r="O59" s="22">
        <v>2.31</v>
      </c>
      <c r="P59" s="22">
        <v>2.36</v>
      </c>
      <c r="Q59" s="22">
        <v>2.34</v>
      </c>
      <c r="R59" s="22">
        <v>2.44</v>
      </c>
      <c r="S59" s="22">
        <v>2.4900000000000002</v>
      </c>
      <c r="T59" s="22">
        <f t="shared" si="0"/>
        <v>2.0499999999999998</v>
      </c>
      <c r="U59" s="22">
        <f t="shared" si="1"/>
        <v>2.15</v>
      </c>
      <c r="V59" s="22">
        <v>2.4</v>
      </c>
      <c r="W59" s="22">
        <v>2.5099999999999998</v>
      </c>
      <c r="X59" s="22">
        <v>3.17</v>
      </c>
      <c r="Y59" s="22">
        <v>2.36</v>
      </c>
      <c r="Z59" s="22">
        <v>2.48</v>
      </c>
      <c r="AA59" s="22">
        <v>2.15</v>
      </c>
      <c r="AB59" s="22">
        <v>2.0499999999999998</v>
      </c>
      <c r="AC59" s="22">
        <v>2.25</v>
      </c>
      <c r="AD59" s="22">
        <v>2.15</v>
      </c>
      <c r="AE59" s="22">
        <v>2.5099999999999998</v>
      </c>
      <c r="AF59" s="22">
        <v>2.4</v>
      </c>
      <c r="AG59" s="22">
        <v>2.61</v>
      </c>
      <c r="AH59" s="22">
        <v>2.5</v>
      </c>
    </row>
    <row r="61" spans="1:34" ht="15" customHeight="1" x14ac:dyDescent="0.3">
      <c r="A61" s="26" t="s">
        <v>86</v>
      </c>
      <c r="B61" s="49"/>
      <c r="C61" s="27"/>
      <c r="D61" s="28"/>
      <c r="E61" s="26"/>
      <c r="F61" s="28"/>
      <c r="G61" s="28"/>
    </row>
    <row r="62" spans="1:34" ht="15" customHeight="1" x14ac:dyDescent="0.3">
      <c r="A62" s="29" t="s">
        <v>150</v>
      </c>
      <c r="B62" s="30"/>
      <c r="C62" s="29"/>
      <c r="D62" s="30"/>
      <c r="E62" s="29"/>
      <c r="F62" s="30"/>
      <c r="G62" s="30"/>
    </row>
    <row r="63" spans="1:34" ht="15" customHeight="1" x14ac:dyDescent="0.3">
      <c r="A63" s="29" t="s">
        <v>75</v>
      </c>
      <c r="B63" s="30"/>
      <c r="C63" s="29"/>
      <c r="D63" s="30"/>
      <c r="E63" s="29"/>
      <c r="F63" s="30"/>
      <c r="G63" s="30"/>
    </row>
    <row r="64" spans="1:34" ht="15" customHeight="1" x14ac:dyDescent="0.3">
      <c r="A64" s="29" t="s">
        <v>76</v>
      </c>
      <c r="B64" s="30"/>
      <c r="C64" s="29"/>
      <c r="D64" s="30"/>
      <c r="E64" s="29"/>
      <c r="F64" s="30"/>
      <c r="G64" s="30"/>
    </row>
    <row r="65" spans="1:7" ht="15" customHeight="1" x14ac:dyDescent="0.3">
      <c r="A65" s="29" t="s">
        <v>77</v>
      </c>
      <c r="B65" s="30"/>
      <c r="C65" s="29"/>
      <c r="D65" s="30"/>
      <c r="E65" s="29"/>
      <c r="F65" s="30"/>
      <c r="G65" s="30"/>
    </row>
    <row r="66" spans="1:7" ht="15" customHeight="1" x14ac:dyDescent="0.3">
      <c r="A66" s="29" t="s">
        <v>78</v>
      </c>
      <c r="B66" s="30"/>
      <c r="C66" s="30"/>
      <c r="D66" s="30"/>
      <c r="E66" s="29"/>
      <c r="F66" s="30"/>
      <c r="G66" s="30"/>
    </row>
  </sheetData>
  <mergeCells count="7">
    <mergeCell ref="G8:G9"/>
    <mergeCell ref="A8:A9"/>
    <mergeCell ref="C8:C9"/>
    <mergeCell ref="D8:D9"/>
    <mergeCell ref="E8:E9"/>
    <mergeCell ref="F8:F9"/>
    <mergeCell ref="B8:B9"/>
  </mergeCells>
  <phoneticPr fontId="14" type="noConversion"/>
  <hyperlinks>
    <hyperlink ref="A66" r:id="rId1" display="www.evergreenhorticulture.co.uk" xr:uid="{5408C990-CE27-4DFD-A6B7-11B71FFF317D}"/>
  </hyperlinks>
  <pageMargins left="0.7" right="0.7" top="0.75" bottom="0.75" header="0.3" footer="0.3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5347-BADC-4C8C-9F14-B9443EF61A82}">
  <dimension ref="A7:G42"/>
  <sheetViews>
    <sheetView showGridLines="0" workbookViewId="0">
      <selection activeCell="O15" sqref="O15"/>
    </sheetView>
  </sheetViews>
  <sheetFormatPr defaultColWidth="9.109375" defaultRowHeight="15" customHeight="1" x14ac:dyDescent="0.3"/>
  <cols>
    <col min="1" max="1" width="39.109375" style="36" customWidth="1"/>
    <col min="2" max="2" width="7.5546875" style="36" customWidth="1"/>
    <col min="3" max="3" width="14.109375" style="12" customWidth="1"/>
    <col min="4" max="4" width="8.6640625" style="12" customWidth="1"/>
    <col min="5" max="5" width="9.6640625" style="12" customWidth="1"/>
    <col min="6" max="6" width="19.44140625" style="12" customWidth="1"/>
    <col min="7" max="7" width="21.44140625" style="12" customWidth="1"/>
    <col min="8" max="16384" width="9.109375" style="12"/>
  </cols>
  <sheetData>
    <row r="7" spans="1:7" ht="54" customHeight="1" x14ac:dyDescent="0.3"/>
    <row r="8" spans="1:7" s="16" customFormat="1" ht="15" customHeight="1" x14ac:dyDescent="0.3">
      <c r="A8" s="56" t="s">
        <v>0</v>
      </c>
      <c r="B8" s="57" t="s">
        <v>94</v>
      </c>
      <c r="C8" s="57" t="s">
        <v>90</v>
      </c>
      <c r="D8" s="56" t="s">
        <v>92</v>
      </c>
      <c r="E8" s="56" t="s">
        <v>14</v>
      </c>
      <c r="F8" s="13" t="s">
        <v>119</v>
      </c>
      <c r="G8" s="13" t="s">
        <v>121</v>
      </c>
    </row>
    <row r="9" spans="1:7" s="16" customFormat="1" ht="15" customHeight="1" x14ac:dyDescent="0.3">
      <c r="A9" s="56"/>
      <c r="B9" s="58"/>
      <c r="C9" s="58"/>
      <c r="D9" s="56"/>
      <c r="E9" s="56"/>
      <c r="F9" s="17" t="s">
        <v>120</v>
      </c>
      <c r="G9" s="17" t="s">
        <v>120</v>
      </c>
    </row>
    <row r="10" spans="1:7" ht="15" customHeight="1" x14ac:dyDescent="0.3">
      <c r="A10" s="46" t="s">
        <v>116</v>
      </c>
      <c r="B10" s="37"/>
      <c r="C10" s="19"/>
      <c r="D10" s="19"/>
      <c r="E10" s="19"/>
      <c r="F10" s="19"/>
      <c r="G10" s="19"/>
    </row>
    <row r="11" spans="1:7" ht="15" customHeight="1" x14ac:dyDescent="0.3">
      <c r="A11" s="38" t="s">
        <v>126</v>
      </c>
      <c r="B11" s="38" t="s">
        <v>97</v>
      </c>
      <c r="C11" s="33">
        <v>5023421409554</v>
      </c>
      <c r="D11" s="23">
        <v>40</v>
      </c>
      <c r="E11" s="23">
        <v>100</v>
      </c>
      <c r="F11" s="22">
        <v>2.25</v>
      </c>
      <c r="G11" s="22">
        <f>SUM(E11*F11)</f>
        <v>225</v>
      </c>
    </row>
    <row r="12" spans="1:7" ht="15" customHeight="1" x14ac:dyDescent="0.3">
      <c r="A12" s="38" t="s">
        <v>126</v>
      </c>
      <c r="B12" s="38" t="s">
        <v>99</v>
      </c>
      <c r="C12" s="33">
        <v>604565380586</v>
      </c>
      <c r="D12" s="23">
        <v>50</v>
      </c>
      <c r="E12" s="23">
        <v>90</v>
      </c>
      <c r="F12" s="22">
        <v>2.34</v>
      </c>
      <c r="G12" s="22">
        <f t="shared" ref="G12:G31" si="0">SUM(E12*F12)</f>
        <v>210.6</v>
      </c>
    </row>
    <row r="13" spans="1:7" ht="15" customHeight="1" x14ac:dyDescent="0.3">
      <c r="A13" s="38" t="s">
        <v>126</v>
      </c>
      <c r="B13" s="38" t="s">
        <v>100</v>
      </c>
      <c r="C13" s="33">
        <v>5023421409684</v>
      </c>
      <c r="D13" s="23">
        <v>60</v>
      </c>
      <c r="E13" s="23">
        <v>80</v>
      </c>
      <c r="F13" s="22">
        <v>2.78</v>
      </c>
      <c r="G13" s="22">
        <f t="shared" si="0"/>
        <v>222.39999999999998</v>
      </c>
    </row>
    <row r="14" spans="1:7" ht="13.8" x14ac:dyDescent="0.3">
      <c r="A14" s="38" t="s">
        <v>126</v>
      </c>
      <c r="B14" s="38" t="s">
        <v>101</v>
      </c>
      <c r="C14" s="33">
        <v>5023421409622</v>
      </c>
      <c r="D14" s="23">
        <v>75</v>
      </c>
      <c r="E14" s="23">
        <v>57</v>
      </c>
      <c r="F14" s="22">
        <v>3.65</v>
      </c>
      <c r="G14" s="22">
        <f t="shared" si="0"/>
        <v>208.04999999999998</v>
      </c>
    </row>
    <row r="15" spans="1:7" ht="15" customHeight="1" x14ac:dyDescent="0.3">
      <c r="A15" s="38" t="s">
        <v>128</v>
      </c>
      <c r="B15" s="38" t="s">
        <v>102</v>
      </c>
      <c r="C15" s="35">
        <v>5023421482373</v>
      </c>
      <c r="D15" s="23">
        <v>60</v>
      </c>
      <c r="E15" s="23">
        <v>80</v>
      </c>
      <c r="F15" s="22">
        <v>3.56</v>
      </c>
      <c r="G15" s="22">
        <f t="shared" si="0"/>
        <v>284.8</v>
      </c>
    </row>
    <row r="16" spans="1:7" ht="15" customHeight="1" x14ac:dyDescent="0.3">
      <c r="A16" s="38" t="s">
        <v>129</v>
      </c>
      <c r="B16" s="38" t="s">
        <v>103</v>
      </c>
      <c r="C16" s="35">
        <v>769503877587</v>
      </c>
      <c r="D16" s="23">
        <v>60</v>
      </c>
      <c r="E16" s="23">
        <v>80</v>
      </c>
      <c r="F16" s="22">
        <v>3.18</v>
      </c>
      <c r="G16" s="22">
        <f t="shared" si="0"/>
        <v>254.4</v>
      </c>
    </row>
    <row r="17" spans="1:7" ht="15" customHeight="1" x14ac:dyDescent="0.3">
      <c r="A17" s="38" t="s">
        <v>110</v>
      </c>
      <c r="B17" s="38" t="s">
        <v>103</v>
      </c>
      <c r="C17" s="35">
        <v>769503877587</v>
      </c>
      <c r="D17" s="23">
        <v>60</v>
      </c>
      <c r="E17" s="23">
        <v>80</v>
      </c>
      <c r="F17" s="22">
        <v>3.18</v>
      </c>
      <c r="G17" s="22">
        <f t="shared" si="0"/>
        <v>254.4</v>
      </c>
    </row>
    <row r="18" spans="1:7" ht="15" customHeight="1" x14ac:dyDescent="0.3">
      <c r="A18" s="38" t="s">
        <v>104</v>
      </c>
      <c r="B18" s="38" t="s">
        <v>105</v>
      </c>
      <c r="C18" s="35">
        <v>604565380593</v>
      </c>
      <c r="D18" s="23">
        <v>60</v>
      </c>
      <c r="E18" s="23">
        <v>80</v>
      </c>
      <c r="F18" s="22">
        <v>3.18</v>
      </c>
      <c r="G18" s="22">
        <f t="shared" si="0"/>
        <v>254.4</v>
      </c>
    </row>
    <row r="19" spans="1:7" ht="15" customHeight="1" x14ac:dyDescent="0.3">
      <c r="A19" s="38" t="s">
        <v>19</v>
      </c>
      <c r="B19" s="38" t="s">
        <v>111</v>
      </c>
      <c r="C19" s="35">
        <v>769503877594</v>
      </c>
      <c r="D19" s="23">
        <v>40</v>
      </c>
      <c r="E19" s="23">
        <v>100</v>
      </c>
      <c r="F19" s="22">
        <v>2.11</v>
      </c>
      <c r="G19" s="22">
        <f t="shared" si="0"/>
        <v>211</v>
      </c>
    </row>
    <row r="20" spans="1:7" ht="15" customHeight="1" x14ac:dyDescent="0.3">
      <c r="A20" s="38" t="s">
        <v>19</v>
      </c>
      <c r="B20" s="38" t="s">
        <v>112</v>
      </c>
      <c r="C20" s="35">
        <v>5023421000034</v>
      </c>
      <c r="D20" s="23">
        <v>60</v>
      </c>
      <c r="E20" s="23">
        <v>80</v>
      </c>
      <c r="F20" s="22">
        <v>3.18</v>
      </c>
      <c r="G20" s="22">
        <f t="shared" si="0"/>
        <v>254.4</v>
      </c>
    </row>
    <row r="21" spans="1:7" ht="15" customHeight="1" x14ac:dyDescent="0.3">
      <c r="A21" s="46" t="s">
        <v>118</v>
      </c>
      <c r="B21" s="37"/>
      <c r="C21" s="19"/>
      <c r="D21" s="19"/>
      <c r="E21" s="19"/>
      <c r="F21" s="19"/>
      <c r="G21" s="19"/>
    </row>
    <row r="22" spans="1:7" ht="15" customHeight="1" x14ac:dyDescent="0.3">
      <c r="A22" s="38" t="s">
        <v>131</v>
      </c>
      <c r="B22" s="38" t="s">
        <v>95</v>
      </c>
      <c r="C22" s="35">
        <v>5023421409523</v>
      </c>
      <c r="D22" s="23">
        <v>75</v>
      </c>
      <c r="E22" s="23">
        <v>48</v>
      </c>
      <c r="F22" s="22">
        <v>4.84</v>
      </c>
      <c r="G22" s="22">
        <f t="shared" si="0"/>
        <v>232.32</v>
      </c>
    </row>
    <row r="23" spans="1:7" ht="15" customHeight="1" x14ac:dyDescent="0.3">
      <c r="A23" s="38" t="s">
        <v>131</v>
      </c>
      <c r="B23" s="38" t="s">
        <v>96</v>
      </c>
      <c r="C23" s="35">
        <v>725765023209</v>
      </c>
      <c r="D23" s="23">
        <v>60</v>
      </c>
      <c r="E23" s="23">
        <v>80</v>
      </c>
      <c r="F23" s="22">
        <v>3.86</v>
      </c>
      <c r="G23" s="22">
        <f t="shared" si="0"/>
        <v>308.8</v>
      </c>
    </row>
    <row r="24" spans="1:7" ht="15" customHeight="1" x14ac:dyDescent="0.3">
      <c r="A24" s="38" t="s">
        <v>5</v>
      </c>
      <c r="B24" s="38" t="s">
        <v>106</v>
      </c>
      <c r="C24" s="35">
        <v>5023421409516</v>
      </c>
      <c r="D24" s="23">
        <v>60</v>
      </c>
      <c r="E24" s="23">
        <v>80</v>
      </c>
      <c r="F24" s="22">
        <v>3.57</v>
      </c>
      <c r="G24" s="22">
        <f t="shared" si="0"/>
        <v>285.59999999999997</v>
      </c>
    </row>
    <row r="25" spans="1:7" ht="15" customHeight="1" x14ac:dyDescent="0.3">
      <c r="A25" s="38" t="s">
        <v>132</v>
      </c>
      <c r="B25" s="38" t="s">
        <v>98</v>
      </c>
      <c r="C25" s="35">
        <v>5023421409608</v>
      </c>
      <c r="D25" s="23">
        <v>60</v>
      </c>
      <c r="E25" s="23">
        <v>70</v>
      </c>
      <c r="F25" s="22">
        <v>3.85</v>
      </c>
      <c r="G25" s="22">
        <f t="shared" si="0"/>
        <v>269.5</v>
      </c>
    </row>
    <row r="26" spans="1:7" ht="15" customHeight="1" x14ac:dyDescent="0.3">
      <c r="A26" s="46" t="s">
        <v>117</v>
      </c>
      <c r="B26" s="37"/>
      <c r="C26" s="19"/>
      <c r="D26" s="25"/>
      <c r="E26" s="25"/>
      <c r="F26" s="19"/>
      <c r="G26" s="19"/>
    </row>
    <row r="27" spans="1:7" ht="15" customHeight="1" x14ac:dyDescent="0.3">
      <c r="A27" s="38" t="s">
        <v>127</v>
      </c>
      <c r="B27" s="38" t="s">
        <v>107</v>
      </c>
      <c r="C27" s="35">
        <v>604565380609</v>
      </c>
      <c r="D27" s="23">
        <v>50</v>
      </c>
      <c r="E27" s="23">
        <v>70</v>
      </c>
      <c r="F27" s="22">
        <v>3.32</v>
      </c>
      <c r="G27" s="22">
        <f t="shared" si="0"/>
        <v>232.39999999999998</v>
      </c>
    </row>
    <row r="28" spans="1:7" ht="15" customHeight="1" x14ac:dyDescent="0.3">
      <c r="A28" s="38" t="s">
        <v>125</v>
      </c>
      <c r="B28" s="38" t="s">
        <v>109</v>
      </c>
      <c r="C28" s="35">
        <v>725765023230</v>
      </c>
      <c r="D28" s="23">
        <v>50</v>
      </c>
      <c r="E28" s="23">
        <v>70</v>
      </c>
      <c r="F28" s="22">
        <v>3.59</v>
      </c>
      <c r="G28" s="22">
        <f t="shared" si="0"/>
        <v>251.29999999999998</v>
      </c>
    </row>
    <row r="29" spans="1:7" ht="14.25" customHeight="1" x14ac:dyDescent="0.3">
      <c r="A29" s="38" t="s">
        <v>130</v>
      </c>
      <c r="B29" s="38" t="s">
        <v>109</v>
      </c>
      <c r="C29" s="35">
        <v>725765023230</v>
      </c>
      <c r="D29" s="23">
        <v>50</v>
      </c>
      <c r="E29" s="23">
        <v>70</v>
      </c>
      <c r="F29" s="22">
        <v>3.59</v>
      </c>
      <c r="G29" s="22">
        <f t="shared" si="0"/>
        <v>251.29999999999998</v>
      </c>
    </row>
    <row r="30" spans="1:7" ht="14.25" customHeight="1" x14ac:dyDescent="0.3">
      <c r="A30" s="38" t="s">
        <v>108</v>
      </c>
      <c r="B30" s="38" t="s">
        <v>109</v>
      </c>
      <c r="C30" s="35">
        <v>725765023230</v>
      </c>
      <c r="D30" s="23">
        <v>50</v>
      </c>
      <c r="E30" s="23">
        <v>70</v>
      </c>
      <c r="F30" s="22">
        <v>3.59</v>
      </c>
      <c r="G30" s="22">
        <f t="shared" si="0"/>
        <v>251.29999999999998</v>
      </c>
    </row>
    <row r="31" spans="1:7" ht="15" customHeight="1" x14ac:dyDescent="0.3">
      <c r="A31" s="38" t="s">
        <v>67</v>
      </c>
      <c r="B31" s="38" t="s">
        <v>113</v>
      </c>
      <c r="C31" s="35">
        <v>725765023223</v>
      </c>
      <c r="D31" s="23">
        <v>50</v>
      </c>
      <c r="E31" s="23">
        <v>70</v>
      </c>
      <c r="F31" s="22">
        <v>3.32</v>
      </c>
      <c r="G31" s="22">
        <f t="shared" si="0"/>
        <v>232.39999999999998</v>
      </c>
    </row>
    <row r="32" spans="1:7" ht="15" hidden="1" customHeight="1" x14ac:dyDescent="0.3">
      <c r="A32" s="38" t="s">
        <v>8</v>
      </c>
      <c r="B32" s="38"/>
      <c r="C32" s="22"/>
      <c r="D32" s="23">
        <v>25</v>
      </c>
      <c r="E32" s="23">
        <v>70</v>
      </c>
      <c r="F32" s="22">
        <v>2.15</v>
      </c>
      <c r="G32" s="22">
        <v>2.15</v>
      </c>
    </row>
    <row r="34" spans="1:7" ht="15" customHeight="1" x14ac:dyDescent="0.3">
      <c r="A34" s="63" t="s">
        <v>86</v>
      </c>
      <c r="B34" s="63"/>
      <c r="C34" s="63"/>
      <c r="D34" s="63"/>
      <c r="E34" s="63"/>
      <c r="F34" s="63"/>
      <c r="G34" s="63"/>
    </row>
    <row r="35" spans="1:7" ht="15" hidden="1" customHeight="1" x14ac:dyDescent="0.3">
      <c r="A35" s="28" t="s">
        <v>87</v>
      </c>
      <c r="B35" s="28"/>
      <c r="C35" s="28"/>
      <c r="D35" s="28"/>
      <c r="E35" s="28"/>
      <c r="F35" s="44"/>
      <c r="G35" s="44"/>
    </row>
    <row r="36" spans="1:7" ht="15" customHeight="1" x14ac:dyDescent="0.3">
      <c r="A36" s="64"/>
      <c r="B36" s="64"/>
      <c r="C36" s="64"/>
      <c r="D36" s="64"/>
      <c r="E36" s="64"/>
      <c r="F36" s="64"/>
      <c r="G36" s="64"/>
    </row>
    <row r="37" spans="1:7" ht="15" customHeight="1" x14ac:dyDescent="0.3">
      <c r="A37" s="61" t="s">
        <v>122</v>
      </c>
      <c r="B37" s="61"/>
      <c r="C37" s="61"/>
      <c r="D37" s="61"/>
      <c r="E37" s="61"/>
      <c r="F37" s="61"/>
      <c r="G37" s="61"/>
    </row>
    <row r="38" spans="1:7" ht="15" customHeight="1" x14ac:dyDescent="0.3">
      <c r="A38" s="61" t="s">
        <v>124</v>
      </c>
      <c r="B38" s="61"/>
      <c r="C38" s="61"/>
      <c r="D38" s="61"/>
      <c r="E38" s="61"/>
      <c r="F38" s="61"/>
      <c r="G38" s="61"/>
    </row>
    <row r="39" spans="1:7" ht="15" customHeight="1" x14ac:dyDescent="0.3">
      <c r="A39" s="45"/>
      <c r="B39" s="45"/>
      <c r="C39" s="45"/>
      <c r="D39" s="45"/>
      <c r="E39" s="45"/>
      <c r="F39" s="45"/>
      <c r="G39" s="45"/>
    </row>
    <row r="40" spans="1:7" ht="15" customHeight="1" x14ac:dyDescent="0.3">
      <c r="A40" s="61" t="s">
        <v>123</v>
      </c>
      <c r="B40" s="61"/>
      <c r="C40" s="61"/>
      <c r="D40" s="61"/>
      <c r="E40" s="61"/>
      <c r="F40" s="61"/>
      <c r="G40" s="61"/>
    </row>
    <row r="41" spans="1:7" ht="15" customHeight="1" x14ac:dyDescent="0.3">
      <c r="A41" s="61" t="s">
        <v>114</v>
      </c>
      <c r="B41" s="61"/>
      <c r="C41" s="61"/>
      <c r="D41" s="61"/>
      <c r="E41" s="61"/>
      <c r="F41" s="61"/>
      <c r="G41" s="61"/>
    </row>
    <row r="42" spans="1:7" ht="15" customHeight="1" x14ac:dyDescent="0.3">
      <c r="A42" s="62" t="s">
        <v>115</v>
      </c>
      <c r="B42" s="62"/>
      <c r="C42" s="62"/>
      <c r="D42" s="62"/>
      <c r="E42" s="62"/>
      <c r="F42" s="62"/>
      <c r="G42" s="62"/>
    </row>
  </sheetData>
  <mergeCells count="12">
    <mergeCell ref="A41:G41"/>
    <mergeCell ref="A42:G42"/>
    <mergeCell ref="A8:A9"/>
    <mergeCell ref="C8:C9"/>
    <mergeCell ref="D8:D9"/>
    <mergeCell ref="E8:E9"/>
    <mergeCell ref="B8:B9"/>
    <mergeCell ref="A34:G34"/>
    <mergeCell ref="A36:G36"/>
    <mergeCell ref="A37:G37"/>
    <mergeCell ref="A38:G38"/>
    <mergeCell ref="A40:G40"/>
  </mergeCells>
  <hyperlinks>
    <hyperlink ref="A42" r:id="rId1" xr:uid="{A9062130-AFA8-410D-BB3A-698825D5280E}"/>
  </hyperlinks>
  <pageMargins left="0.7" right="0.7" top="0.75" bottom="0.75" header="0.3" footer="0.3"/>
  <pageSetup paperSize="9" scale="7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E290-5CA7-438A-A8AC-9E8B4A96D1D6}">
  <dimension ref="A7:AE60"/>
  <sheetViews>
    <sheetView showGridLines="0" workbookViewId="0">
      <selection activeCell="AJ26" sqref="AJ26"/>
    </sheetView>
  </sheetViews>
  <sheetFormatPr defaultColWidth="9.109375" defaultRowHeight="15" customHeight="1" x14ac:dyDescent="0.3"/>
  <cols>
    <col min="1" max="1" width="38.109375" style="12" customWidth="1"/>
    <col min="2" max="3" width="25.6640625" style="12" customWidth="1"/>
    <col min="4" max="25" width="25.6640625" style="12" hidden="1" customWidth="1"/>
    <col min="26" max="27" width="25.6640625" style="16" hidden="1" customWidth="1"/>
    <col min="28" max="29" width="25.6640625" style="12" hidden="1" customWidth="1"/>
    <col min="30" max="31" width="25.6640625" style="12" customWidth="1"/>
    <col min="32" max="16384" width="9.109375" style="12"/>
  </cols>
  <sheetData>
    <row r="7" spans="1:31" ht="54" customHeight="1" x14ac:dyDescent="0.3"/>
    <row r="8" spans="1:31" s="16" customFormat="1" ht="15" customHeight="1" x14ac:dyDescent="0.3">
      <c r="A8" s="56" t="s">
        <v>0</v>
      </c>
      <c r="B8" s="56" t="s">
        <v>84</v>
      </c>
      <c r="C8" s="56" t="s">
        <v>85</v>
      </c>
      <c r="D8" s="60" t="s">
        <v>72</v>
      </c>
      <c r="E8" s="59" t="s">
        <v>73</v>
      </c>
      <c r="F8" s="13" t="s">
        <v>26</v>
      </c>
      <c r="G8" s="13" t="s">
        <v>27</v>
      </c>
      <c r="H8" s="13" t="s">
        <v>28</v>
      </c>
      <c r="I8" s="13" t="s">
        <v>29</v>
      </c>
      <c r="J8" s="13" t="s">
        <v>30</v>
      </c>
      <c r="K8" s="13" t="s">
        <v>31</v>
      </c>
      <c r="L8" s="13" t="s">
        <v>32</v>
      </c>
      <c r="M8" s="13" t="s">
        <v>33</v>
      </c>
      <c r="N8" s="13" t="s">
        <v>34</v>
      </c>
      <c r="O8" s="13" t="s">
        <v>35</v>
      </c>
      <c r="P8" s="13" t="s">
        <v>36</v>
      </c>
      <c r="Q8" s="13" t="s">
        <v>37</v>
      </c>
      <c r="R8" s="14" t="s">
        <v>41</v>
      </c>
      <c r="S8" s="15" t="s">
        <v>42</v>
      </c>
      <c r="T8" s="14" t="s">
        <v>43</v>
      </c>
      <c r="U8" s="15" t="s">
        <v>44</v>
      </c>
      <c r="V8" s="15" t="s">
        <v>79</v>
      </c>
      <c r="W8" s="14" t="s">
        <v>64</v>
      </c>
      <c r="X8" s="15" t="s">
        <v>80</v>
      </c>
      <c r="Y8" s="12"/>
      <c r="AB8" s="12"/>
      <c r="AD8" s="14" t="s">
        <v>82</v>
      </c>
      <c r="AE8" s="15" t="s">
        <v>82</v>
      </c>
    </row>
    <row r="9" spans="1:31" s="16" customFormat="1" ht="15" customHeight="1" x14ac:dyDescent="0.3">
      <c r="A9" s="56"/>
      <c r="B9" s="56"/>
      <c r="C9" s="56"/>
      <c r="D9" s="60"/>
      <c r="E9" s="59"/>
      <c r="F9" s="17" t="s">
        <v>81</v>
      </c>
      <c r="G9" s="17" t="s">
        <v>81</v>
      </c>
      <c r="H9" s="17" t="s">
        <v>81</v>
      </c>
      <c r="I9" s="17" t="s">
        <v>81</v>
      </c>
      <c r="J9" s="17" t="s">
        <v>81</v>
      </c>
      <c r="K9" s="17" t="s">
        <v>81</v>
      </c>
      <c r="L9" s="17" t="s">
        <v>81</v>
      </c>
      <c r="M9" s="17" t="s">
        <v>81</v>
      </c>
      <c r="N9" s="17" t="s">
        <v>81</v>
      </c>
      <c r="O9" s="17" t="s">
        <v>81</v>
      </c>
      <c r="P9" s="17" t="s">
        <v>81</v>
      </c>
      <c r="Q9" s="17" t="s">
        <v>81</v>
      </c>
      <c r="R9" s="17" t="s">
        <v>81</v>
      </c>
      <c r="S9" s="17" t="s">
        <v>81</v>
      </c>
      <c r="T9" s="17" t="s">
        <v>81</v>
      </c>
      <c r="U9" s="17" t="s">
        <v>81</v>
      </c>
      <c r="V9" s="17" t="s">
        <v>81</v>
      </c>
      <c r="W9" s="17" t="s">
        <v>81</v>
      </c>
      <c r="X9" s="18" t="s">
        <v>81</v>
      </c>
      <c r="Y9" s="12"/>
      <c r="AB9" s="12"/>
      <c r="AD9" s="39" t="s">
        <v>83</v>
      </c>
      <c r="AE9" s="18" t="s">
        <v>93</v>
      </c>
    </row>
    <row r="10" spans="1:31" ht="15" customHeight="1" x14ac:dyDescent="0.3">
      <c r="A10" s="19" t="s">
        <v>48</v>
      </c>
      <c r="B10" s="19"/>
      <c r="C10" s="19"/>
      <c r="D10" s="20"/>
      <c r="E10" s="20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1"/>
      <c r="S10" s="21"/>
      <c r="T10" s="21"/>
      <c r="U10" s="21"/>
      <c r="V10" s="21"/>
      <c r="W10" s="21"/>
      <c r="X10" s="21"/>
      <c r="AD10" s="40"/>
      <c r="AE10" s="43"/>
    </row>
    <row r="11" spans="1:31" ht="15" customHeight="1" x14ac:dyDescent="0.3">
      <c r="A11" s="22" t="s">
        <v>2</v>
      </c>
      <c r="B11" s="23">
        <v>10</v>
      </c>
      <c r="C11" s="23">
        <v>300</v>
      </c>
      <c r="D11" s="24">
        <v>0.1</v>
      </c>
      <c r="E11" s="24">
        <v>0.05</v>
      </c>
      <c r="F11" s="22">
        <v>1.38</v>
      </c>
      <c r="G11" s="22">
        <v>1.48</v>
      </c>
      <c r="H11" s="22">
        <v>1.53</v>
      </c>
      <c r="I11" s="22">
        <v>1.44</v>
      </c>
      <c r="J11" s="22">
        <v>1.54</v>
      </c>
      <c r="K11" s="22">
        <v>1.59</v>
      </c>
      <c r="L11" s="22">
        <v>1.49</v>
      </c>
      <c r="M11" s="22">
        <v>1.59</v>
      </c>
      <c r="N11" s="22">
        <v>1.64</v>
      </c>
      <c r="O11" s="22">
        <v>1.58</v>
      </c>
      <c r="P11" s="22">
        <v>1.68</v>
      </c>
      <c r="Q11" s="22">
        <v>1.73</v>
      </c>
      <c r="R11" s="22">
        <f>SUM(F11)</f>
        <v>1.38</v>
      </c>
      <c r="S11" s="22">
        <f>SUM(R11+D11)</f>
        <v>1.48</v>
      </c>
      <c r="T11" s="22">
        <v>1.62</v>
      </c>
      <c r="U11" s="22">
        <v>1.74</v>
      </c>
      <c r="V11" s="22">
        <v>1.6</v>
      </c>
      <c r="W11" s="22">
        <v>1.63</v>
      </c>
      <c r="X11" s="22">
        <v>1.71</v>
      </c>
      <c r="Y11" s="12">
        <v>600</v>
      </c>
      <c r="Z11" s="16">
        <v>24</v>
      </c>
      <c r="AA11" s="16">
        <f t="shared" ref="AA11:AA53" si="0">SUM(Z11*C11)</f>
        <v>7200</v>
      </c>
      <c r="AB11" s="12">
        <f t="shared" ref="AB11:AB53" si="1">SUM(AA11*F11)</f>
        <v>9936</v>
      </c>
      <c r="AC11" s="12">
        <f t="shared" ref="AC11:AC53" si="2">SUM(AB11-Y11)</f>
        <v>9336</v>
      </c>
      <c r="AD11" s="41">
        <v>1.29</v>
      </c>
      <c r="AE11" s="22">
        <f>SUM(AD11*1.3)</f>
        <v>1.677</v>
      </c>
    </row>
    <row r="12" spans="1:31" ht="15" customHeight="1" x14ac:dyDescent="0.3">
      <c r="A12" s="22" t="s">
        <v>2</v>
      </c>
      <c r="B12" s="23">
        <v>20</v>
      </c>
      <c r="C12" s="23">
        <v>175</v>
      </c>
      <c r="D12" s="24">
        <v>0.1</v>
      </c>
      <c r="E12" s="24">
        <v>0.05</v>
      </c>
      <c r="F12" s="22">
        <v>1.58</v>
      </c>
      <c r="G12" s="22">
        <v>1.68</v>
      </c>
      <c r="H12" s="22">
        <v>1.73</v>
      </c>
      <c r="I12" s="22">
        <v>1.65</v>
      </c>
      <c r="J12" s="22">
        <v>1.75</v>
      </c>
      <c r="K12" s="22">
        <v>1.8</v>
      </c>
      <c r="L12" s="22">
        <v>1.71</v>
      </c>
      <c r="M12" s="22">
        <v>1.81</v>
      </c>
      <c r="N12" s="22">
        <v>1.86</v>
      </c>
      <c r="O12" s="22">
        <v>1.81</v>
      </c>
      <c r="P12" s="22">
        <v>1.91</v>
      </c>
      <c r="Q12" s="22">
        <v>1.96</v>
      </c>
      <c r="R12" s="22">
        <f t="shared" ref="R12:R53" si="3">SUM(F12)</f>
        <v>1.58</v>
      </c>
      <c r="S12" s="22">
        <f t="shared" ref="S12:S53" si="4">SUM(R12+D12)</f>
        <v>1.6800000000000002</v>
      </c>
      <c r="T12" s="22">
        <v>1.85</v>
      </c>
      <c r="U12" s="22">
        <v>1.97</v>
      </c>
      <c r="V12" s="22">
        <v>1.97</v>
      </c>
      <c r="W12" s="22">
        <v>1.85</v>
      </c>
      <c r="X12" s="22">
        <v>1.94</v>
      </c>
      <c r="Y12" s="12">
        <v>600</v>
      </c>
      <c r="Z12" s="16">
        <v>24</v>
      </c>
      <c r="AA12" s="16">
        <f t="shared" si="0"/>
        <v>4200</v>
      </c>
      <c r="AB12" s="12">
        <f t="shared" si="1"/>
        <v>6636</v>
      </c>
      <c r="AC12" s="12">
        <f t="shared" si="2"/>
        <v>6036</v>
      </c>
      <c r="AD12" s="41">
        <f t="shared" ref="AD12:AD53" si="5">SUM(AC12/AA12)</f>
        <v>1.4371428571428571</v>
      </c>
      <c r="AE12" s="22">
        <f t="shared" ref="AE12:AE45" si="6">SUM(AD12*1.3)</f>
        <v>1.8682857142857143</v>
      </c>
    </row>
    <row r="13" spans="1:31" ht="15" customHeight="1" x14ac:dyDescent="0.3">
      <c r="A13" s="22" t="s">
        <v>2</v>
      </c>
      <c r="B13" s="23">
        <v>40</v>
      </c>
      <c r="C13" s="23">
        <v>100</v>
      </c>
      <c r="D13" s="24">
        <v>0.1</v>
      </c>
      <c r="E13" s="24">
        <v>0.05</v>
      </c>
      <c r="F13" s="22">
        <v>2.25</v>
      </c>
      <c r="G13" s="22">
        <v>2.35</v>
      </c>
      <c r="H13" s="22">
        <v>2.4</v>
      </c>
      <c r="I13" s="22">
        <v>2.34</v>
      </c>
      <c r="J13" s="22">
        <v>2.44</v>
      </c>
      <c r="K13" s="22">
        <v>2.4900000000000002</v>
      </c>
      <c r="L13" s="22">
        <v>2.4300000000000002</v>
      </c>
      <c r="M13" s="22">
        <v>2.5299999999999998</v>
      </c>
      <c r="N13" s="22">
        <v>2.58</v>
      </c>
      <c r="O13" s="22">
        <v>2.56</v>
      </c>
      <c r="P13" s="22">
        <v>2.66</v>
      </c>
      <c r="Q13" s="22">
        <v>2.71</v>
      </c>
      <c r="R13" s="22">
        <f t="shared" si="3"/>
        <v>2.25</v>
      </c>
      <c r="S13" s="22">
        <f>SUM(R13+D13)</f>
        <v>2.35</v>
      </c>
      <c r="T13" s="22">
        <v>2.63</v>
      </c>
      <c r="U13" s="22">
        <v>2.75</v>
      </c>
      <c r="V13" s="22">
        <v>2.91</v>
      </c>
      <c r="W13" s="22">
        <v>2.58</v>
      </c>
      <c r="X13" s="22">
        <v>2.71</v>
      </c>
      <c r="Y13" s="12">
        <v>600</v>
      </c>
      <c r="Z13" s="16">
        <v>24</v>
      </c>
      <c r="AA13" s="16">
        <f t="shared" si="0"/>
        <v>2400</v>
      </c>
      <c r="AB13" s="12">
        <f t="shared" si="1"/>
        <v>5400</v>
      </c>
      <c r="AC13" s="12">
        <f t="shared" si="2"/>
        <v>4800</v>
      </c>
      <c r="AD13" s="41">
        <v>1.99</v>
      </c>
      <c r="AE13" s="22">
        <f t="shared" si="6"/>
        <v>2.5870000000000002</v>
      </c>
    </row>
    <row r="14" spans="1:31" ht="15" customHeight="1" x14ac:dyDescent="0.3">
      <c r="A14" s="22" t="s">
        <v>69</v>
      </c>
      <c r="B14" s="23">
        <v>50</v>
      </c>
      <c r="C14" s="23">
        <v>90</v>
      </c>
      <c r="D14" s="24">
        <v>0.1</v>
      </c>
      <c r="E14" s="24">
        <v>0.05</v>
      </c>
      <c r="F14" s="22">
        <v>2.34</v>
      </c>
      <c r="G14" s="22">
        <v>2.44</v>
      </c>
      <c r="H14" s="22">
        <v>2.4900000000000002</v>
      </c>
      <c r="I14" s="22">
        <v>2.44</v>
      </c>
      <c r="J14" s="22">
        <v>2.54</v>
      </c>
      <c r="K14" s="22">
        <v>2.59</v>
      </c>
      <c r="L14" s="22">
        <v>2.52</v>
      </c>
      <c r="M14" s="22">
        <v>2.62</v>
      </c>
      <c r="N14" s="22">
        <v>2.67</v>
      </c>
      <c r="O14" s="22">
        <v>2.67</v>
      </c>
      <c r="P14" s="22">
        <v>2.77</v>
      </c>
      <c r="Q14" s="22">
        <v>2.82</v>
      </c>
      <c r="R14" s="22">
        <f t="shared" si="3"/>
        <v>2.34</v>
      </c>
      <c r="S14" s="22">
        <f t="shared" si="4"/>
        <v>2.44</v>
      </c>
      <c r="T14" s="22">
        <v>2.74</v>
      </c>
      <c r="U14" s="22">
        <v>2.85</v>
      </c>
      <c r="V14" s="22">
        <v>3.03</v>
      </c>
      <c r="W14" s="22">
        <v>2.67</v>
      </c>
      <c r="X14" s="22">
        <v>2.81</v>
      </c>
      <c r="Y14" s="12">
        <v>600</v>
      </c>
      <c r="Z14" s="16">
        <v>24</v>
      </c>
      <c r="AA14" s="16">
        <f t="shared" si="0"/>
        <v>2160</v>
      </c>
      <c r="AB14" s="12">
        <f t="shared" si="1"/>
        <v>5054.3999999999996</v>
      </c>
      <c r="AC14" s="12">
        <f t="shared" si="2"/>
        <v>4454.3999999999996</v>
      </c>
      <c r="AD14" s="41">
        <f t="shared" si="5"/>
        <v>2.0622222222222222</v>
      </c>
      <c r="AE14" s="22">
        <f t="shared" si="6"/>
        <v>2.6808888888888891</v>
      </c>
    </row>
    <row r="15" spans="1:31" ht="15" customHeight="1" x14ac:dyDescent="0.3">
      <c r="A15" s="22" t="s">
        <v>2</v>
      </c>
      <c r="B15" s="23">
        <v>60</v>
      </c>
      <c r="C15" s="23">
        <v>80</v>
      </c>
      <c r="D15" s="24">
        <v>0.05</v>
      </c>
      <c r="E15" s="24">
        <v>0.05</v>
      </c>
      <c r="F15" s="22">
        <v>2.78</v>
      </c>
      <c r="G15" s="22">
        <v>2.83</v>
      </c>
      <c r="H15" s="22">
        <v>2.88</v>
      </c>
      <c r="I15" s="22">
        <v>2.9</v>
      </c>
      <c r="J15" s="22">
        <v>2.95</v>
      </c>
      <c r="K15" s="22">
        <v>3</v>
      </c>
      <c r="L15" s="22">
        <v>3</v>
      </c>
      <c r="M15" s="22">
        <v>3.05</v>
      </c>
      <c r="N15" s="22">
        <v>3.1</v>
      </c>
      <c r="O15" s="22">
        <v>3.17</v>
      </c>
      <c r="P15" s="22">
        <v>3.22</v>
      </c>
      <c r="Q15" s="22">
        <v>3.27</v>
      </c>
      <c r="R15" s="22">
        <f t="shared" si="3"/>
        <v>2.78</v>
      </c>
      <c r="S15" s="22">
        <f t="shared" si="4"/>
        <v>2.8299999999999996</v>
      </c>
      <c r="T15" s="22">
        <v>3.26</v>
      </c>
      <c r="U15" s="22">
        <v>3.31</v>
      </c>
      <c r="V15" s="22">
        <v>3.56</v>
      </c>
      <c r="W15" s="22">
        <v>3.1</v>
      </c>
      <c r="X15" s="22">
        <v>3.25</v>
      </c>
      <c r="Y15" s="12">
        <v>600</v>
      </c>
      <c r="Z15" s="16">
        <v>24</v>
      </c>
      <c r="AA15" s="16">
        <f t="shared" si="0"/>
        <v>1920</v>
      </c>
      <c r="AB15" s="12">
        <f t="shared" si="1"/>
        <v>5337.5999999999995</v>
      </c>
      <c r="AC15" s="12">
        <f t="shared" si="2"/>
        <v>4737.5999999999995</v>
      </c>
      <c r="AD15" s="41">
        <f t="shared" si="5"/>
        <v>2.4674999999999998</v>
      </c>
      <c r="AE15" s="22">
        <f t="shared" si="6"/>
        <v>3.2077499999999999</v>
      </c>
    </row>
    <row r="16" spans="1:31" ht="13.8" x14ac:dyDescent="0.3">
      <c r="A16" s="22" t="s">
        <v>2</v>
      </c>
      <c r="B16" s="23">
        <v>75</v>
      </c>
      <c r="C16" s="23">
        <v>57</v>
      </c>
      <c r="D16" s="24">
        <v>0.05</v>
      </c>
      <c r="E16" s="24">
        <v>0.05</v>
      </c>
      <c r="F16" s="22">
        <v>3.65</v>
      </c>
      <c r="G16" s="22">
        <v>3.7</v>
      </c>
      <c r="H16" s="22">
        <v>3.75</v>
      </c>
      <c r="I16" s="22">
        <v>3.8</v>
      </c>
      <c r="J16" s="22">
        <v>3.85</v>
      </c>
      <c r="K16" s="22">
        <v>3.9</v>
      </c>
      <c r="L16" s="22">
        <v>3.94</v>
      </c>
      <c r="M16" s="22">
        <v>3.99</v>
      </c>
      <c r="N16" s="22">
        <v>4.04</v>
      </c>
      <c r="O16" s="22">
        <v>4.16</v>
      </c>
      <c r="P16" s="22">
        <v>4.21</v>
      </c>
      <c r="Q16" s="22">
        <v>4.26</v>
      </c>
      <c r="R16" s="22">
        <f t="shared" si="3"/>
        <v>3.65</v>
      </c>
      <c r="S16" s="22">
        <f t="shared" si="4"/>
        <v>3.6999999999999997</v>
      </c>
      <c r="T16" s="22">
        <v>4.2699999999999996</v>
      </c>
      <c r="U16" s="22">
        <v>4.33</v>
      </c>
      <c r="V16" s="22">
        <v>4.82</v>
      </c>
      <c r="W16" s="22">
        <v>4.04</v>
      </c>
      <c r="X16" s="22">
        <v>4.24</v>
      </c>
      <c r="Y16" s="12">
        <v>600</v>
      </c>
      <c r="Z16" s="16">
        <v>24</v>
      </c>
      <c r="AA16" s="16">
        <f t="shared" si="0"/>
        <v>1368</v>
      </c>
      <c r="AB16" s="12">
        <f t="shared" si="1"/>
        <v>4993.2</v>
      </c>
      <c r="AC16" s="12">
        <f t="shared" si="2"/>
        <v>4393.2</v>
      </c>
      <c r="AD16" s="41">
        <f t="shared" si="5"/>
        <v>3.2114035087719297</v>
      </c>
      <c r="AE16" s="22">
        <f t="shared" si="6"/>
        <v>4.1748245614035087</v>
      </c>
    </row>
    <row r="17" spans="1:31" ht="15" customHeight="1" x14ac:dyDescent="0.3">
      <c r="A17" s="22" t="s">
        <v>2</v>
      </c>
      <c r="B17" s="23">
        <v>100</v>
      </c>
      <c r="C17" s="23">
        <v>40</v>
      </c>
      <c r="D17" s="24">
        <v>0.1</v>
      </c>
      <c r="E17" s="24">
        <v>0.1</v>
      </c>
      <c r="F17" s="22">
        <v>4.91</v>
      </c>
      <c r="G17" s="22">
        <v>5.01</v>
      </c>
      <c r="H17" s="22">
        <v>5.1100000000000003</v>
      </c>
      <c r="I17" s="22">
        <v>5.1100000000000003</v>
      </c>
      <c r="J17" s="22">
        <v>5.21</v>
      </c>
      <c r="K17" s="22">
        <v>5.31</v>
      </c>
      <c r="L17" s="22">
        <v>5.3</v>
      </c>
      <c r="M17" s="22">
        <v>5.4</v>
      </c>
      <c r="N17" s="22">
        <v>5.5</v>
      </c>
      <c r="O17" s="22">
        <v>5.6</v>
      </c>
      <c r="P17" s="22">
        <v>5.7</v>
      </c>
      <c r="Q17" s="22">
        <v>5.8</v>
      </c>
      <c r="R17" s="22">
        <f t="shared" si="3"/>
        <v>4.91</v>
      </c>
      <c r="S17" s="22">
        <f t="shared" si="4"/>
        <v>5.01</v>
      </c>
      <c r="T17" s="22">
        <v>5.75</v>
      </c>
      <c r="U17" s="22">
        <v>5.86</v>
      </c>
      <c r="V17" s="22">
        <v>6.38</v>
      </c>
      <c r="W17" s="22">
        <v>5.48</v>
      </c>
      <c r="X17" s="22">
        <v>5.76</v>
      </c>
      <c r="Y17" s="12">
        <v>600</v>
      </c>
      <c r="Z17" s="16">
        <v>24</v>
      </c>
      <c r="AA17" s="16">
        <f t="shared" si="0"/>
        <v>960</v>
      </c>
      <c r="AB17" s="12">
        <f t="shared" si="1"/>
        <v>4713.6000000000004</v>
      </c>
      <c r="AC17" s="12">
        <f t="shared" si="2"/>
        <v>4113.6000000000004</v>
      </c>
      <c r="AD17" s="41">
        <f t="shared" si="5"/>
        <v>4.2850000000000001</v>
      </c>
      <c r="AE17" s="22">
        <f t="shared" si="6"/>
        <v>5.5705</v>
      </c>
    </row>
    <row r="18" spans="1:31" ht="15" customHeight="1" x14ac:dyDescent="0.3">
      <c r="A18" s="22" t="s">
        <v>19</v>
      </c>
      <c r="B18" s="23">
        <v>40</v>
      </c>
      <c r="C18" s="23">
        <v>100</v>
      </c>
      <c r="D18" s="24">
        <v>0.05</v>
      </c>
      <c r="E18" s="24">
        <v>0.05</v>
      </c>
      <c r="F18" s="22">
        <v>2.11</v>
      </c>
      <c r="G18" s="22">
        <v>2.16</v>
      </c>
      <c r="H18" s="22">
        <v>2.21</v>
      </c>
      <c r="I18" s="22">
        <v>2.2200000000000002</v>
      </c>
      <c r="J18" s="22">
        <v>2.27</v>
      </c>
      <c r="K18" s="22">
        <v>2.3199999999999998</v>
      </c>
      <c r="L18" s="22">
        <v>2.33</v>
      </c>
      <c r="M18" s="22">
        <v>2.38</v>
      </c>
      <c r="N18" s="22">
        <v>2.4300000000000002</v>
      </c>
      <c r="O18" s="22">
        <v>2.4500000000000002</v>
      </c>
      <c r="P18" s="22">
        <v>2.5</v>
      </c>
      <c r="Q18" s="22">
        <v>2.5499999999999998</v>
      </c>
      <c r="R18" s="22">
        <f t="shared" si="3"/>
        <v>2.11</v>
      </c>
      <c r="S18" s="22">
        <f t="shared" si="4"/>
        <v>2.1599999999999997</v>
      </c>
      <c r="T18" s="22">
        <v>2.4700000000000002</v>
      </c>
      <c r="U18" s="22">
        <v>2.5299999999999998</v>
      </c>
      <c r="V18" s="22">
        <v>3.05</v>
      </c>
      <c r="W18" s="22">
        <v>2.39</v>
      </c>
      <c r="X18" s="22">
        <v>2.5099999999999998</v>
      </c>
      <c r="Y18" s="12">
        <v>600</v>
      </c>
      <c r="Z18" s="16">
        <v>24</v>
      </c>
      <c r="AA18" s="16">
        <f t="shared" si="0"/>
        <v>2400</v>
      </c>
      <c r="AB18" s="12">
        <f t="shared" si="1"/>
        <v>5064</v>
      </c>
      <c r="AC18" s="12">
        <f t="shared" si="2"/>
        <v>4464</v>
      </c>
      <c r="AD18" s="41">
        <f t="shared" si="5"/>
        <v>1.86</v>
      </c>
      <c r="AE18" s="22">
        <f t="shared" si="6"/>
        <v>2.4180000000000001</v>
      </c>
    </row>
    <row r="19" spans="1:31" ht="15" customHeight="1" x14ac:dyDescent="0.3">
      <c r="A19" s="22" t="s">
        <v>19</v>
      </c>
      <c r="B19" s="23">
        <v>60</v>
      </c>
      <c r="C19" s="23">
        <v>80</v>
      </c>
      <c r="D19" s="24">
        <v>0.05</v>
      </c>
      <c r="E19" s="24">
        <v>0.05</v>
      </c>
      <c r="F19" s="22">
        <v>3.18</v>
      </c>
      <c r="G19" s="22">
        <v>3.23</v>
      </c>
      <c r="H19" s="22">
        <v>3.28</v>
      </c>
      <c r="I19" s="22">
        <v>3.31</v>
      </c>
      <c r="J19" s="22">
        <v>3.36</v>
      </c>
      <c r="K19" s="22">
        <v>3.41</v>
      </c>
      <c r="L19" s="22">
        <v>3.44</v>
      </c>
      <c r="M19" s="22">
        <v>3.49</v>
      </c>
      <c r="N19" s="22">
        <v>3.54</v>
      </c>
      <c r="O19" s="22">
        <v>3.63</v>
      </c>
      <c r="P19" s="22">
        <v>3.68</v>
      </c>
      <c r="Q19" s="22">
        <v>3.73</v>
      </c>
      <c r="R19" s="22">
        <f t="shared" si="3"/>
        <v>3.18</v>
      </c>
      <c r="S19" s="22">
        <f t="shared" si="4"/>
        <v>3.23</v>
      </c>
      <c r="T19" s="22">
        <v>3.72</v>
      </c>
      <c r="U19" s="22">
        <v>3.78</v>
      </c>
      <c r="V19" s="22">
        <v>4.57</v>
      </c>
      <c r="W19" s="22">
        <v>3.53</v>
      </c>
      <c r="X19" s="22">
        <v>3.71</v>
      </c>
      <c r="Y19" s="12">
        <v>600</v>
      </c>
      <c r="Z19" s="16">
        <v>24</v>
      </c>
      <c r="AA19" s="16">
        <f t="shared" si="0"/>
        <v>1920</v>
      </c>
      <c r="AB19" s="12">
        <f t="shared" si="1"/>
        <v>6105.6</v>
      </c>
      <c r="AC19" s="12">
        <f t="shared" si="2"/>
        <v>5505.6</v>
      </c>
      <c r="AD19" s="41">
        <f t="shared" si="5"/>
        <v>2.8675000000000002</v>
      </c>
      <c r="AE19" s="22">
        <f t="shared" si="6"/>
        <v>3.7277500000000003</v>
      </c>
    </row>
    <row r="20" spans="1:31" ht="15" customHeight="1" x14ac:dyDescent="0.3">
      <c r="A20" s="22" t="s">
        <v>17</v>
      </c>
      <c r="B20" s="23">
        <v>60</v>
      </c>
      <c r="C20" s="23">
        <v>80</v>
      </c>
      <c r="D20" s="24">
        <v>0.05</v>
      </c>
      <c r="E20" s="24">
        <v>0.05</v>
      </c>
      <c r="F20" s="22">
        <v>3.56</v>
      </c>
      <c r="G20" s="22">
        <v>3.6</v>
      </c>
      <c r="H20" s="22">
        <v>3.64</v>
      </c>
      <c r="I20" s="22">
        <v>3.7</v>
      </c>
      <c r="J20" s="22">
        <v>3.74</v>
      </c>
      <c r="K20" s="22">
        <v>3.78</v>
      </c>
      <c r="L20" s="22">
        <v>3.84</v>
      </c>
      <c r="M20" s="22">
        <v>3.88</v>
      </c>
      <c r="N20" s="22">
        <v>3.92</v>
      </c>
      <c r="O20" s="22">
        <v>4.0599999999999996</v>
      </c>
      <c r="P20" s="22">
        <v>4.0999999999999996</v>
      </c>
      <c r="Q20" s="22">
        <v>4.1399999999999997</v>
      </c>
      <c r="R20" s="22">
        <v>3.56</v>
      </c>
      <c r="S20" s="22">
        <v>3.6</v>
      </c>
      <c r="T20" s="22">
        <v>4.16</v>
      </c>
      <c r="U20" s="22">
        <v>4.21</v>
      </c>
      <c r="V20" s="22">
        <v>4.46</v>
      </c>
      <c r="W20" s="22">
        <v>3.93</v>
      </c>
      <c r="X20" s="22">
        <v>4.13</v>
      </c>
      <c r="Y20" s="12">
        <v>600</v>
      </c>
      <c r="Z20" s="16">
        <v>24</v>
      </c>
      <c r="AA20" s="16">
        <f t="shared" si="0"/>
        <v>1920</v>
      </c>
      <c r="AB20" s="12">
        <f t="shared" si="1"/>
        <v>6835.2</v>
      </c>
      <c r="AC20" s="12">
        <f t="shared" si="2"/>
        <v>6235.2</v>
      </c>
      <c r="AD20" s="41">
        <f t="shared" si="5"/>
        <v>3.2475000000000001</v>
      </c>
      <c r="AE20" s="22">
        <f t="shared" si="6"/>
        <v>4.2217500000000001</v>
      </c>
    </row>
    <row r="21" spans="1:31" ht="15" customHeight="1" x14ac:dyDescent="0.3">
      <c r="A21" s="22" t="s">
        <v>18</v>
      </c>
      <c r="B21" s="23">
        <v>60</v>
      </c>
      <c r="C21" s="23">
        <v>80</v>
      </c>
      <c r="D21" s="24">
        <v>0.05</v>
      </c>
      <c r="E21" s="24">
        <v>0.05</v>
      </c>
      <c r="F21" s="22">
        <v>3.18</v>
      </c>
      <c r="G21" s="22">
        <v>3.23</v>
      </c>
      <c r="H21" s="22">
        <v>3.28</v>
      </c>
      <c r="I21" s="22">
        <v>3.31</v>
      </c>
      <c r="J21" s="22">
        <v>3.36</v>
      </c>
      <c r="K21" s="22">
        <v>3.41</v>
      </c>
      <c r="L21" s="22">
        <v>3.44</v>
      </c>
      <c r="M21" s="22">
        <v>3.49</v>
      </c>
      <c r="N21" s="22">
        <v>3.54</v>
      </c>
      <c r="O21" s="22">
        <v>3.63</v>
      </c>
      <c r="P21" s="22">
        <v>3.68</v>
      </c>
      <c r="Q21" s="22">
        <v>3.73</v>
      </c>
      <c r="R21" s="22">
        <f t="shared" si="3"/>
        <v>3.18</v>
      </c>
      <c r="S21" s="22">
        <f t="shared" si="4"/>
        <v>3.23</v>
      </c>
      <c r="T21" s="22">
        <v>3.72</v>
      </c>
      <c r="U21" s="22">
        <v>3.78</v>
      </c>
      <c r="V21" s="22">
        <v>3.99</v>
      </c>
      <c r="W21" s="22">
        <v>3.53</v>
      </c>
      <c r="X21" s="22">
        <v>3.71</v>
      </c>
      <c r="Y21" s="12">
        <v>600</v>
      </c>
      <c r="Z21" s="16">
        <v>24</v>
      </c>
      <c r="AA21" s="16">
        <f t="shared" si="0"/>
        <v>1920</v>
      </c>
      <c r="AB21" s="12">
        <f t="shared" si="1"/>
        <v>6105.6</v>
      </c>
      <c r="AC21" s="12">
        <f t="shared" si="2"/>
        <v>5505.6</v>
      </c>
      <c r="AD21" s="41">
        <f t="shared" si="5"/>
        <v>2.8675000000000002</v>
      </c>
      <c r="AE21" s="22">
        <f t="shared" si="6"/>
        <v>3.7277500000000003</v>
      </c>
    </row>
    <row r="22" spans="1:31" ht="15" customHeight="1" x14ac:dyDescent="0.3">
      <c r="A22" s="22" t="s">
        <v>21</v>
      </c>
      <c r="B22" s="23">
        <v>75</v>
      </c>
      <c r="C22" s="23">
        <v>63</v>
      </c>
      <c r="D22" s="24">
        <v>0.05</v>
      </c>
      <c r="E22" s="24">
        <v>0.05</v>
      </c>
      <c r="F22" s="22">
        <v>4.38</v>
      </c>
      <c r="G22" s="22">
        <v>4.43</v>
      </c>
      <c r="H22" s="22">
        <v>4.4800000000000004</v>
      </c>
      <c r="I22" s="22">
        <v>4.5599999999999996</v>
      </c>
      <c r="J22" s="22">
        <v>4.6100000000000003</v>
      </c>
      <c r="K22" s="22">
        <v>4.66</v>
      </c>
      <c r="L22" s="22">
        <v>4.7300000000000004</v>
      </c>
      <c r="M22" s="22">
        <v>4.78</v>
      </c>
      <c r="N22" s="22">
        <v>4.83</v>
      </c>
      <c r="O22" s="22">
        <v>4.99</v>
      </c>
      <c r="P22" s="22">
        <v>5.04</v>
      </c>
      <c r="Q22" s="22">
        <v>5.09</v>
      </c>
      <c r="R22" s="22">
        <f t="shared" si="3"/>
        <v>4.38</v>
      </c>
      <c r="S22" s="22">
        <f t="shared" si="4"/>
        <v>4.43</v>
      </c>
      <c r="T22" s="22">
        <v>5.12</v>
      </c>
      <c r="U22" s="22">
        <v>5.18</v>
      </c>
      <c r="V22" s="22">
        <v>5.51</v>
      </c>
      <c r="W22" s="22">
        <v>4.84</v>
      </c>
      <c r="X22" s="22">
        <v>5.08</v>
      </c>
      <c r="Y22" s="12">
        <v>600</v>
      </c>
      <c r="Z22" s="16">
        <v>24</v>
      </c>
      <c r="AA22" s="16">
        <f t="shared" si="0"/>
        <v>1512</v>
      </c>
      <c r="AB22" s="12">
        <f t="shared" si="1"/>
        <v>6622.5599999999995</v>
      </c>
      <c r="AC22" s="12">
        <f t="shared" si="2"/>
        <v>6022.5599999999995</v>
      </c>
      <c r="AD22" s="41">
        <f t="shared" si="5"/>
        <v>3.9831746031746027</v>
      </c>
      <c r="AE22" s="22">
        <f t="shared" si="6"/>
        <v>5.1781269841269832</v>
      </c>
    </row>
    <row r="23" spans="1:31" ht="15" customHeight="1" x14ac:dyDescent="0.3">
      <c r="A23" s="22" t="s">
        <v>22</v>
      </c>
      <c r="B23" s="23">
        <v>60</v>
      </c>
      <c r="C23" s="23">
        <v>80</v>
      </c>
      <c r="D23" s="24">
        <v>0.05</v>
      </c>
      <c r="E23" s="24">
        <v>0.05</v>
      </c>
      <c r="F23" s="22">
        <v>3.18</v>
      </c>
      <c r="G23" s="22">
        <v>3.23</v>
      </c>
      <c r="H23" s="22">
        <v>3.28</v>
      </c>
      <c r="I23" s="22">
        <v>3.31</v>
      </c>
      <c r="J23" s="22">
        <v>3.36</v>
      </c>
      <c r="K23" s="22">
        <v>3.41</v>
      </c>
      <c r="L23" s="22">
        <v>3.44</v>
      </c>
      <c r="M23" s="22">
        <v>3.49</v>
      </c>
      <c r="N23" s="22">
        <v>3.54</v>
      </c>
      <c r="O23" s="22">
        <v>3.63</v>
      </c>
      <c r="P23" s="22">
        <v>3.68</v>
      </c>
      <c r="Q23" s="22">
        <v>3.73</v>
      </c>
      <c r="R23" s="22">
        <f t="shared" si="3"/>
        <v>3.18</v>
      </c>
      <c r="S23" s="22">
        <f t="shared" si="4"/>
        <v>3.23</v>
      </c>
      <c r="T23" s="22">
        <v>3.72</v>
      </c>
      <c r="U23" s="22">
        <v>3.78</v>
      </c>
      <c r="V23" s="22">
        <v>4.3600000000000003</v>
      </c>
      <c r="W23" s="22">
        <v>3.53</v>
      </c>
      <c r="X23" s="22">
        <v>3.71</v>
      </c>
      <c r="Y23" s="12">
        <v>600</v>
      </c>
      <c r="Z23" s="16">
        <v>24</v>
      </c>
      <c r="AA23" s="16">
        <f t="shared" si="0"/>
        <v>1920</v>
      </c>
      <c r="AB23" s="12">
        <f t="shared" si="1"/>
        <v>6105.6</v>
      </c>
      <c r="AC23" s="12">
        <f t="shared" si="2"/>
        <v>5505.6</v>
      </c>
      <c r="AD23" s="41">
        <f t="shared" si="5"/>
        <v>2.8675000000000002</v>
      </c>
      <c r="AE23" s="22">
        <f t="shared" si="6"/>
        <v>3.7277500000000003</v>
      </c>
    </row>
    <row r="24" spans="1:31" ht="15" customHeight="1" x14ac:dyDescent="0.3">
      <c r="A24" s="22" t="s">
        <v>23</v>
      </c>
      <c r="B24" s="23">
        <v>60</v>
      </c>
      <c r="C24" s="23">
        <v>80</v>
      </c>
      <c r="D24" s="24">
        <v>0.05</v>
      </c>
      <c r="E24" s="24">
        <v>0.05</v>
      </c>
      <c r="F24" s="22">
        <v>3.18</v>
      </c>
      <c r="G24" s="22">
        <v>3.23</v>
      </c>
      <c r="H24" s="22">
        <v>3.28</v>
      </c>
      <c r="I24" s="22">
        <v>3.31</v>
      </c>
      <c r="J24" s="22">
        <v>3.36</v>
      </c>
      <c r="K24" s="22">
        <v>3.41</v>
      </c>
      <c r="L24" s="22">
        <v>3.44</v>
      </c>
      <c r="M24" s="22">
        <v>3.49</v>
      </c>
      <c r="N24" s="22">
        <v>3.54</v>
      </c>
      <c r="O24" s="22">
        <v>3.63</v>
      </c>
      <c r="P24" s="22">
        <v>3.68</v>
      </c>
      <c r="Q24" s="22">
        <v>3.73</v>
      </c>
      <c r="R24" s="22">
        <f t="shared" si="3"/>
        <v>3.18</v>
      </c>
      <c r="S24" s="22">
        <f t="shared" si="4"/>
        <v>3.23</v>
      </c>
      <c r="T24" s="22">
        <v>3.72</v>
      </c>
      <c r="U24" s="22">
        <v>3.78</v>
      </c>
      <c r="V24" s="22">
        <v>4.3600000000000003</v>
      </c>
      <c r="W24" s="22">
        <v>3.53</v>
      </c>
      <c r="X24" s="22">
        <v>3.71</v>
      </c>
      <c r="Y24" s="12">
        <v>600</v>
      </c>
      <c r="Z24" s="16">
        <v>24</v>
      </c>
      <c r="AA24" s="16">
        <f t="shared" si="0"/>
        <v>1920</v>
      </c>
      <c r="AB24" s="12">
        <f t="shared" si="1"/>
        <v>6105.6</v>
      </c>
      <c r="AC24" s="12">
        <f t="shared" si="2"/>
        <v>5505.6</v>
      </c>
      <c r="AD24" s="41">
        <f t="shared" si="5"/>
        <v>2.8675000000000002</v>
      </c>
      <c r="AE24" s="22">
        <f t="shared" si="6"/>
        <v>3.7277500000000003</v>
      </c>
    </row>
    <row r="25" spans="1:31" ht="15" customHeight="1" x14ac:dyDescent="0.3">
      <c r="A25" s="22" t="s">
        <v>16</v>
      </c>
      <c r="B25" s="23">
        <v>60</v>
      </c>
      <c r="C25" s="23">
        <v>70</v>
      </c>
      <c r="D25" s="24">
        <v>0.05</v>
      </c>
      <c r="E25" s="24">
        <v>0.05</v>
      </c>
      <c r="F25" s="22">
        <v>3.04</v>
      </c>
      <c r="G25" s="22">
        <v>3.09</v>
      </c>
      <c r="H25" s="22">
        <v>3.14</v>
      </c>
      <c r="I25" s="22">
        <v>3.16</v>
      </c>
      <c r="J25" s="22">
        <v>3.21</v>
      </c>
      <c r="K25" s="22">
        <v>3.26</v>
      </c>
      <c r="L25" s="22">
        <v>3.28</v>
      </c>
      <c r="M25" s="22">
        <v>3.33</v>
      </c>
      <c r="N25" s="22">
        <v>3.38</v>
      </c>
      <c r="O25" s="22">
        <v>3.46</v>
      </c>
      <c r="P25" s="22">
        <v>3.51</v>
      </c>
      <c r="Q25" s="22">
        <v>3.56</v>
      </c>
      <c r="R25" s="22">
        <f t="shared" si="3"/>
        <v>3.04</v>
      </c>
      <c r="S25" s="22">
        <f t="shared" si="4"/>
        <v>3.09</v>
      </c>
      <c r="T25" s="22">
        <v>3.55</v>
      </c>
      <c r="U25" s="22">
        <v>3.61</v>
      </c>
      <c r="V25" s="22">
        <v>4.16</v>
      </c>
      <c r="W25" s="22">
        <v>3.38</v>
      </c>
      <c r="X25" s="22">
        <v>3.54</v>
      </c>
      <c r="Y25" s="12">
        <v>600</v>
      </c>
      <c r="Z25" s="16">
        <v>24</v>
      </c>
      <c r="AA25" s="16">
        <f t="shared" si="0"/>
        <v>1680</v>
      </c>
      <c r="AB25" s="12">
        <f t="shared" si="1"/>
        <v>5107.2</v>
      </c>
      <c r="AC25" s="12">
        <f t="shared" si="2"/>
        <v>4507.2</v>
      </c>
      <c r="AD25" s="41">
        <f t="shared" si="5"/>
        <v>2.6828571428571428</v>
      </c>
      <c r="AE25" s="22">
        <f t="shared" si="6"/>
        <v>3.487714285714286</v>
      </c>
    </row>
    <row r="26" spans="1:31" ht="15" customHeight="1" x14ac:dyDescent="0.3">
      <c r="A26" s="22" t="s">
        <v>71</v>
      </c>
      <c r="B26" s="23">
        <v>100</v>
      </c>
      <c r="C26" s="23">
        <v>40</v>
      </c>
      <c r="D26" s="24">
        <v>0.25</v>
      </c>
      <c r="E26" s="24">
        <v>0.15</v>
      </c>
      <c r="F26" s="22">
        <v>5.31</v>
      </c>
      <c r="G26" s="22">
        <v>5.56</v>
      </c>
      <c r="H26" s="22">
        <v>5.71</v>
      </c>
      <c r="I26" s="22">
        <v>5.53</v>
      </c>
      <c r="J26" s="22">
        <v>5.78</v>
      </c>
      <c r="K26" s="22">
        <v>5.93</v>
      </c>
      <c r="L26" s="22">
        <v>5.74</v>
      </c>
      <c r="M26" s="22">
        <v>5.99</v>
      </c>
      <c r="N26" s="22">
        <v>6.14</v>
      </c>
      <c r="O26" s="22">
        <v>6.05</v>
      </c>
      <c r="P26" s="22">
        <v>6.3</v>
      </c>
      <c r="Q26" s="22">
        <v>6.45</v>
      </c>
      <c r="R26" s="22">
        <f t="shared" si="3"/>
        <v>5.31</v>
      </c>
      <c r="S26" s="22">
        <f t="shared" si="4"/>
        <v>5.56</v>
      </c>
      <c r="T26" s="22">
        <v>6.21</v>
      </c>
      <c r="U26" s="22">
        <v>6.51</v>
      </c>
      <c r="V26" s="22">
        <v>7.12</v>
      </c>
      <c r="W26" s="22">
        <v>6.1</v>
      </c>
      <c r="X26" s="22">
        <v>6.4</v>
      </c>
      <c r="Y26" s="12">
        <v>600</v>
      </c>
      <c r="Z26" s="16">
        <v>24</v>
      </c>
      <c r="AA26" s="16">
        <f t="shared" si="0"/>
        <v>960</v>
      </c>
      <c r="AB26" s="12">
        <f t="shared" si="1"/>
        <v>5097.5999999999995</v>
      </c>
      <c r="AC26" s="12">
        <f t="shared" si="2"/>
        <v>4497.5999999999995</v>
      </c>
      <c r="AD26" s="41">
        <f t="shared" si="5"/>
        <v>4.6849999999999996</v>
      </c>
      <c r="AE26" s="22">
        <f t="shared" si="6"/>
        <v>6.0904999999999996</v>
      </c>
    </row>
    <row r="27" spans="1:31" ht="15" customHeight="1" x14ac:dyDescent="0.3">
      <c r="A27" s="22" t="s">
        <v>4</v>
      </c>
      <c r="B27" s="23">
        <v>75</v>
      </c>
      <c r="C27" s="23">
        <v>48</v>
      </c>
      <c r="D27" s="24">
        <v>0.1</v>
      </c>
      <c r="E27" s="24">
        <v>0.05</v>
      </c>
      <c r="F27" s="22">
        <v>4.84</v>
      </c>
      <c r="G27" s="22">
        <v>4.9400000000000004</v>
      </c>
      <c r="H27" s="22">
        <v>4.99</v>
      </c>
      <c r="I27" s="22">
        <v>5.04</v>
      </c>
      <c r="J27" s="22">
        <v>5.14</v>
      </c>
      <c r="K27" s="22">
        <v>5.19</v>
      </c>
      <c r="L27" s="22">
        <v>5.23</v>
      </c>
      <c r="M27" s="22">
        <v>5.33</v>
      </c>
      <c r="N27" s="22">
        <v>5.38</v>
      </c>
      <c r="O27" s="22">
        <v>5.52</v>
      </c>
      <c r="P27" s="22">
        <v>5.62</v>
      </c>
      <c r="Q27" s="22">
        <v>5.67</v>
      </c>
      <c r="R27" s="22">
        <f t="shared" si="3"/>
        <v>4.84</v>
      </c>
      <c r="S27" s="22">
        <f t="shared" si="4"/>
        <v>4.9399999999999995</v>
      </c>
      <c r="T27" s="22">
        <v>5.67</v>
      </c>
      <c r="U27" s="22">
        <v>5.79</v>
      </c>
      <c r="V27" s="22">
        <v>6.24</v>
      </c>
      <c r="W27" s="22">
        <v>5.41</v>
      </c>
      <c r="X27" s="22">
        <v>5.68</v>
      </c>
      <c r="Y27" s="12">
        <v>600</v>
      </c>
      <c r="Z27" s="16">
        <v>24</v>
      </c>
      <c r="AA27" s="16">
        <f t="shared" si="0"/>
        <v>1152</v>
      </c>
      <c r="AB27" s="12">
        <f t="shared" si="1"/>
        <v>5575.68</v>
      </c>
      <c r="AC27" s="12">
        <f t="shared" si="2"/>
        <v>4975.68</v>
      </c>
      <c r="AD27" s="41">
        <f t="shared" si="5"/>
        <v>4.3191666666666668</v>
      </c>
      <c r="AE27" s="22">
        <f t="shared" si="6"/>
        <v>5.6149166666666668</v>
      </c>
    </row>
    <row r="28" spans="1:31" ht="15" customHeight="1" x14ac:dyDescent="0.3">
      <c r="A28" s="22" t="s">
        <v>4</v>
      </c>
      <c r="B28" s="23">
        <v>60</v>
      </c>
      <c r="C28" s="23">
        <v>70</v>
      </c>
      <c r="D28" s="24">
        <v>0.1</v>
      </c>
      <c r="E28" s="24">
        <v>0.05</v>
      </c>
      <c r="F28" s="22">
        <v>3.86</v>
      </c>
      <c r="G28" s="22">
        <v>3.96</v>
      </c>
      <c r="H28" s="22">
        <v>4.01</v>
      </c>
      <c r="I28" s="22">
        <v>4.0199999999999996</v>
      </c>
      <c r="J28" s="22">
        <v>4.12</v>
      </c>
      <c r="K28" s="22">
        <v>4.17</v>
      </c>
      <c r="L28" s="22">
        <v>4.17</v>
      </c>
      <c r="M28" s="22">
        <v>4.2699999999999996</v>
      </c>
      <c r="N28" s="22">
        <v>4.32</v>
      </c>
      <c r="O28" s="22">
        <v>4.4000000000000004</v>
      </c>
      <c r="P28" s="22">
        <v>4.5</v>
      </c>
      <c r="Q28" s="22">
        <v>4.55</v>
      </c>
      <c r="R28" s="22">
        <f t="shared" si="3"/>
        <v>3.86</v>
      </c>
      <c r="S28" s="22">
        <f t="shared" si="4"/>
        <v>3.96</v>
      </c>
      <c r="T28" s="22">
        <v>4.5199999999999996</v>
      </c>
      <c r="U28" s="22">
        <v>4.63</v>
      </c>
      <c r="V28" s="22">
        <v>4.99</v>
      </c>
      <c r="W28" s="22">
        <v>4.34</v>
      </c>
      <c r="X28" s="22">
        <v>4.55</v>
      </c>
      <c r="Y28" s="12">
        <v>600</v>
      </c>
      <c r="Z28" s="16">
        <v>24</v>
      </c>
      <c r="AA28" s="16">
        <f t="shared" si="0"/>
        <v>1680</v>
      </c>
      <c r="AB28" s="12">
        <f t="shared" si="1"/>
        <v>6484.8</v>
      </c>
      <c r="AC28" s="12">
        <f t="shared" si="2"/>
        <v>5884.8</v>
      </c>
      <c r="AD28" s="41">
        <v>3.49</v>
      </c>
      <c r="AE28" s="22">
        <f t="shared" si="6"/>
        <v>4.5370000000000008</v>
      </c>
    </row>
    <row r="29" spans="1:31" ht="15" customHeight="1" x14ac:dyDescent="0.3">
      <c r="A29" s="22" t="s">
        <v>5</v>
      </c>
      <c r="B29" s="23">
        <v>60</v>
      </c>
      <c r="C29" s="23">
        <v>80</v>
      </c>
      <c r="D29" s="24">
        <v>0.1</v>
      </c>
      <c r="E29" s="24">
        <v>0.05</v>
      </c>
      <c r="F29" s="22">
        <v>3.57</v>
      </c>
      <c r="G29" s="22">
        <v>3.67</v>
      </c>
      <c r="H29" s="22">
        <v>3.72</v>
      </c>
      <c r="I29" s="22">
        <v>3.72</v>
      </c>
      <c r="J29" s="22">
        <v>3.82</v>
      </c>
      <c r="K29" s="22">
        <v>3.87</v>
      </c>
      <c r="L29" s="22">
        <v>3.86</v>
      </c>
      <c r="M29" s="22">
        <v>3.96</v>
      </c>
      <c r="N29" s="22">
        <v>4.01</v>
      </c>
      <c r="O29" s="22">
        <v>4.07</v>
      </c>
      <c r="P29" s="22">
        <v>4.17</v>
      </c>
      <c r="Q29" s="22">
        <v>4.22</v>
      </c>
      <c r="R29" s="22">
        <f t="shared" si="3"/>
        <v>3.57</v>
      </c>
      <c r="S29" s="22">
        <f t="shared" si="4"/>
        <v>3.67</v>
      </c>
      <c r="T29" s="22">
        <v>4.18</v>
      </c>
      <c r="U29" s="22">
        <v>4.29</v>
      </c>
      <c r="V29" s="22">
        <v>4.92</v>
      </c>
      <c r="W29" s="22">
        <v>4.0199999999999996</v>
      </c>
      <c r="X29" s="22">
        <v>4.22</v>
      </c>
      <c r="Y29" s="12">
        <v>600</v>
      </c>
      <c r="Z29" s="16">
        <v>24</v>
      </c>
      <c r="AA29" s="16">
        <f t="shared" si="0"/>
        <v>1920</v>
      </c>
      <c r="AB29" s="12">
        <f t="shared" si="1"/>
        <v>6854.4</v>
      </c>
      <c r="AC29" s="12">
        <f t="shared" si="2"/>
        <v>6254.4</v>
      </c>
      <c r="AD29" s="41">
        <f t="shared" si="5"/>
        <v>3.2574999999999998</v>
      </c>
      <c r="AE29" s="22">
        <f t="shared" si="6"/>
        <v>4.23475</v>
      </c>
    </row>
    <row r="30" spans="1:31" ht="15" customHeight="1" x14ac:dyDescent="0.3">
      <c r="A30" s="22" t="s">
        <v>6</v>
      </c>
      <c r="B30" s="23">
        <v>60</v>
      </c>
      <c r="C30" s="23">
        <v>70</v>
      </c>
      <c r="D30" s="24">
        <v>0.1</v>
      </c>
      <c r="E30" s="24">
        <v>0.05</v>
      </c>
      <c r="F30" s="22">
        <v>3.85</v>
      </c>
      <c r="G30" s="22">
        <v>3.95</v>
      </c>
      <c r="H30" s="22">
        <v>4</v>
      </c>
      <c r="I30" s="22">
        <v>4</v>
      </c>
      <c r="J30" s="22">
        <v>4.0999999999999996</v>
      </c>
      <c r="K30" s="22">
        <v>4.1500000000000004</v>
      </c>
      <c r="L30" s="22">
        <v>4.1500000000000004</v>
      </c>
      <c r="M30" s="22">
        <v>4.25</v>
      </c>
      <c r="N30" s="22">
        <v>4.3</v>
      </c>
      <c r="O30" s="22">
        <v>4.3899999999999997</v>
      </c>
      <c r="P30" s="22">
        <v>4.49</v>
      </c>
      <c r="Q30" s="22">
        <v>4.54</v>
      </c>
      <c r="R30" s="22">
        <f t="shared" si="3"/>
        <v>3.85</v>
      </c>
      <c r="S30" s="22">
        <f t="shared" si="4"/>
        <v>3.95</v>
      </c>
      <c r="T30" s="22">
        <v>4.5</v>
      </c>
      <c r="U30" s="22">
        <v>4.62</v>
      </c>
      <c r="V30" s="22">
        <v>4.8499999999999996</v>
      </c>
      <c r="W30" s="22">
        <v>4.32</v>
      </c>
      <c r="X30" s="22">
        <v>4.54</v>
      </c>
      <c r="Y30" s="12">
        <v>600</v>
      </c>
      <c r="Z30" s="16">
        <v>24</v>
      </c>
      <c r="AA30" s="16">
        <f t="shared" si="0"/>
        <v>1680</v>
      </c>
      <c r="AB30" s="12">
        <f t="shared" si="1"/>
        <v>6468</v>
      </c>
      <c r="AC30" s="12">
        <f t="shared" si="2"/>
        <v>5868</v>
      </c>
      <c r="AD30" s="41">
        <f t="shared" si="5"/>
        <v>3.4928571428571429</v>
      </c>
      <c r="AE30" s="22">
        <f t="shared" si="6"/>
        <v>4.5407142857142855</v>
      </c>
    </row>
    <row r="31" spans="1:31" ht="15" customHeight="1" x14ac:dyDescent="0.3">
      <c r="A31" s="22" t="s">
        <v>7</v>
      </c>
      <c r="B31" s="23">
        <v>36</v>
      </c>
      <c r="C31" s="23">
        <v>100</v>
      </c>
      <c r="D31" s="24">
        <v>0.05</v>
      </c>
      <c r="E31" s="24">
        <v>0.05</v>
      </c>
      <c r="F31" s="22">
        <v>1.78</v>
      </c>
      <c r="G31" s="22">
        <v>1.83</v>
      </c>
      <c r="H31" s="22">
        <v>1.88</v>
      </c>
      <c r="I31" s="22">
        <v>1.86</v>
      </c>
      <c r="J31" s="22">
        <v>1.91</v>
      </c>
      <c r="K31" s="22">
        <v>1.96</v>
      </c>
      <c r="L31" s="22">
        <v>1.93</v>
      </c>
      <c r="M31" s="22">
        <v>1.98</v>
      </c>
      <c r="N31" s="22">
        <v>2.0299999999999998</v>
      </c>
      <c r="O31" s="22">
        <v>2.0299999999999998</v>
      </c>
      <c r="P31" s="22">
        <v>2.08</v>
      </c>
      <c r="Q31" s="22">
        <v>2.13</v>
      </c>
      <c r="R31" s="22">
        <f t="shared" si="3"/>
        <v>1.78</v>
      </c>
      <c r="S31" s="22">
        <f t="shared" si="4"/>
        <v>1.83</v>
      </c>
      <c r="T31" s="22">
        <v>2.09</v>
      </c>
      <c r="U31" s="22">
        <v>2.15</v>
      </c>
      <c r="V31" s="22">
        <v>2.46</v>
      </c>
      <c r="W31" s="22">
        <v>2.0099999999999998</v>
      </c>
      <c r="X31" s="22">
        <v>2.11</v>
      </c>
      <c r="Y31" s="12">
        <v>600</v>
      </c>
      <c r="Z31" s="16">
        <v>24</v>
      </c>
      <c r="AA31" s="16">
        <f t="shared" si="0"/>
        <v>2400</v>
      </c>
      <c r="AB31" s="12">
        <f t="shared" si="1"/>
        <v>4272</v>
      </c>
      <c r="AC31" s="12">
        <f t="shared" si="2"/>
        <v>3672</v>
      </c>
      <c r="AD31" s="41">
        <f t="shared" si="5"/>
        <v>1.53</v>
      </c>
      <c r="AE31" s="22">
        <f t="shared" si="6"/>
        <v>1.9890000000000001</v>
      </c>
    </row>
    <row r="32" spans="1:31" ht="15" customHeight="1" x14ac:dyDescent="0.3">
      <c r="A32" s="22" t="s">
        <v>8</v>
      </c>
      <c r="B32" s="23">
        <v>25</v>
      </c>
      <c r="C32" s="23">
        <v>70</v>
      </c>
      <c r="D32" s="24">
        <v>0.05</v>
      </c>
      <c r="E32" s="24">
        <v>0.05</v>
      </c>
      <c r="F32" s="22">
        <v>2.15</v>
      </c>
      <c r="G32" s="22">
        <v>2.2000000000000002</v>
      </c>
      <c r="H32" s="22">
        <v>2.25</v>
      </c>
      <c r="I32" s="22">
        <v>2.2400000000000002</v>
      </c>
      <c r="J32" s="22">
        <v>2.29</v>
      </c>
      <c r="K32" s="22">
        <v>2.34</v>
      </c>
      <c r="L32" s="22">
        <v>2.3199999999999998</v>
      </c>
      <c r="M32" s="22">
        <v>2.37</v>
      </c>
      <c r="N32" s="22">
        <v>2.42</v>
      </c>
      <c r="O32" s="22">
        <v>2.4500000000000002</v>
      </c>
      <c r="P32" s="22">
        <v>2.5</v>
      </c>
      <c r="Q32" s="22">
        <v>2.5499999999999998</v>
      </c>
      <c r="R32" s="22">
        <f t="shared" si="3"/>
        <v>2.15</v>
      </c>
      <c r="S32" s="22">
        <f t="shared" si="4"/>
        <v>2.1999999999999997</v>
      </c>
      <c r="T32" s="22">
        <v>2.5099999999999998</v>
      </c>
      <c r="U32" s="22">
        <v>2.57</v>
      </c>
      <c r="V32" s="22">
        <v>3.17</v>
      </c>
      <c r="W32" s="22">
        <v>2.4</v>
      </c>
      <c r="X32" s="22">
        <v>2.52</v>
      </c>
      <c r="Y32" s="12">
        <v>600</v>
      </c>
      <c r="Z32" s="16">
        <v>24</v>
      </c>
      <c r="AA32" s="16">
        <f t="shared" si="0"/>
        <v>1680</v>
      </c>
      <c r="AB32" s="12">
        <f t="shared" si="1"/>
        <v>3612</v>
      </c>
      <c r="AC32" s="12">
        <f t="shared" si="2"/>
        <v>3012</v>
      </c>
      <c r="AD32" s="41">
        <f t="shared" si="5"/>
        <v>1.7928571428571429</v>
      </c>
      <c r="AE32" s="22">
        <f t="shared" si="6"/>
        <v>2.330714285714286</v>
      </c>
    </row>
    <row r="33" spans="1:31" ht="15" customHeight="1" x14ac:dyDescent="0.3">
      <c r="A33" s="22" t="s">
        <v>9</v>
      </c>
      <c r="B33" s="23">
        <v>40</v>
      </c>
      <c r="C33" s="23">
        <v>70</v>
      </c>
      <c r="D33" s="24">
        <v>0.05</v>
      </c>
      <c r="E33" s="24">
        <v>0.05</v>
      </c>
      <c r="F33" s="22">
        <v>2.34</v>
      </c>
      <c r="G33" s="22">
        <v>2.39</v>
      </c>
      <c r="H33" s="22">
        <v>2.44</v>
      </c>
      <c r="I33" s="22">
        <v>2.4300000000000002</v>
      </c>
      <c r="J33" s="22">
        <v>2.48</v>
      </c>
      <c r="K33" s="22">
        <v>2.5299999999999998</v>
      </c>
      <c r="L33" s="22">
        <v>2.52</v>
      </c>
      <c r="M33" s="22">
        <v>2.57</v>
      </c>
      <c r="N33" s="22">
        <v>2.62</v>
      </c>
      <c r="O33" s="22">
        <v>2.67</v>
      </c>
      <c r="P33" s="22">
        <v>2.72</v>
      </c>
      <c r="Q33" s="22">
        <v>2.77</v>
      </c>
      <c r="R33" s="22">
        <f t="shared" si="3"/>
        <v>2.34</v>
      </c>
      <c r="S33" s="22">
        <f t="shared" si="4"/>
        <v>2.3899999999999997</v>
      </c>
      <c r="T33" s="22">
        <v>2.74</v>
      </c>
      <c r="U33" s="22">
        <v>2.79</v>
      </c>
      <c r="V33" s="22">
        <v>3.36</v>
      </c>
      <c r="W33" s="22">
        <v>2.61</v>
      </c>
      <c r="X33" s="22">
        <v>2.74</v>
      </c>
      <c r="Y33" s="12">
        <v>600</v>
      </c>
      <c r="Z33" s="16">
        <v>24</v>
      </c>
      <c r="AA33" s="16">
        <f t="shared" si="0"/>
        <v>1680</v>
      </c>
      <c r="AB33" s="12">
        <f t="shared" si="1"/>
        <v>3931.2</v>
      </c>
      <c r="AC33" s="12">
        <f t="shared" si="2"/>
        <v>3331.2</v>
      </c>
      <c r="AD33" s="41">
        <f t="shared" si="5"/>
        <v>1.9828571428571427</v>
      </c>
      <c r="AE33" s="22">
        <f t="shared" si="6"/>
        <v>2.5777142857142854</v>
      </c>
    </row>
    <row r="34" spans="1:31" ht="15" customHeight="1" x14ac:dyDescent="0.3">
      <c r="A34" s="22" t="s">
        <v>65</v>
      </c>
      <c r="B34" s="23">
        <v>20</v>
      </c>
      <c r="C34" s="23">
        <v>70</v>
      </c>
      <c r="D34" s="24">
        <v>0.1</v>
      </c>
      <c r="E34" s="24">
        <v>0.05</v>
      </c>
      <c r="F34" s="22">
        <v>3.25</v>
      </c>
      <c r="G34" s="22">
        <v>3.35</v>
      </c>
      <c r="H34" s="22">
        <v>3.4</v>
      </c>
      <c r="I34" s="22">
        <v>3.35</v>
      </c>
      <c r="J34" s="22">
        <v>3.45</v>
      </c>
      <c r="K34" s="22">
        <v>3.5</v>
      </c>
      <c r="L34" s="22">
        <v>3.45</v>
      </c>
      <c r="M34" s="22">
        <v>3.55</v>
      </c>
      <c r="N34" s="22">
        <v>3.6</v>
      </c>
      <c r="O34" s="22">
        <v>3.55</v>
      </c>
      <c r="P34" s="22">
        <v>3.65</v>
      </c>
      <c r="Q34" s="22">
        <v>3.7</v>
      </c>
      <c r="R34" s="22">
        <f t="shared" si="3"/>
        <v>3.25</v>
      </c>
      <c r="S34" s="22">
        <f t="shared" si="4"/>
        <v>3.35</v>
      </c>
      <c r="T34" s="22">
        <v>3.8</v>
      </c>
      <c r="U34" s="22">
        <v>3.91</v>
      </c>
      <c r="V34" s="22">
        <v>4.2699999999999996</v>
      </c>
      <c r="W34" s="22">
        <v>3.62</v>
      </c>
      <c r="X34" s="22">
        <v>3.8</v>
      </c>
      <c r="Y34" s="12">
        <v>600</v>
      </c>
      <c r="Z34" s="16">
        <v>24</v>
      </c>
      <c r="AA34" s="16">
        <f t="shared" si="0"/>
        <v>1680</v>
      </c>
      <c r="AB34" s="12">
        <f t="shared" si="1"/>
        <v>5460</v>
      </c>
      <c r="AC34" s="12">
        <f t="shared" si="2"/>
        <v>4860</v>
      </c>
      <c r="AD34" s="41">
        <f t="shared" si="5"/>
        <v>2.8928571428571428</v>
      </c>
      <c r="AE34" s="22">
        <f t="shared" si="6"/>
        <v>3.7607142857142857</v>
      </c>
    </row>
    <row r="35" spans="1:31" ht="15" customHeight="1" x14ac:dyDescent="0.3">
      <c r="A35" s="22" t="s">
        <v>70</v>
      </c>
      <c r="B35" s="23">
        <v>25</v>
      </c>
      <c r="C35" s="23">
        <v>70</v>
      </c>
      <c r="D35" s="24">
        <v>0.05</v>
      </c>
      <c r="E35" s="24">
        <v>0.05</v>
      </c>
      <c r="F35" s="22">
        <v>2.86</v>
      </c>
      <c r="G35" s="22">
        <v>2.91</v>
      </c>
      <c r="H35" s="22">
        <v>2.96</v>
      </c>
      <c r="I35" s="22">
        <v>2.97</v>
      </c>
      <c r="J35" s="22">
        <v>3.02</v>
      </c>
      <c r="K35" s="22">
        <v>3.07</v>
      </c>
      <c r="L35" s="22">
        <v>3.08</v>
      </c>
      <c r="M35" s="22">
        <v>3.13</v>
      </c>
      <c r="N35" s="22">
        <v>3.18</v>
      </c>
      <c r="O35" s="22">
        <v>3.19</v>
      </c>
      <c r="P35" s="22">
        <v>3.24</v>
      </c>
      <c r="Q35" s="22">
        <v>3.29</v>
      </c>
      <c r="R35" s="22">
        <f t="shared" si="3"/>
        <v>2.86</v>
      </c>
      <c r="S35" s="22">
        <f t="shared" si="4"/>
        <v>2.9099999999999997</v>
      </c>
      <c r="T35" s="22">
        <v>3.35</v>
      </c>
      <c r="U35" s="22">
        <v>3.4</v>
      </c>
      <c r="V35" s="22">
        <v>3.88</v>
      </c>
      <c r="W35" s="22">
        <v>3.18</v>
      </c>
      <c r="X35" s="22">
        <v>3.34</v>
      </c>
      <c r="Y35" s="12">
        <v>600</v>
      </c>
      <c r="Z35" s="16">
        <v>24</v>
      </c>
      <c r="AA35" s="16">
        <f t="shared" si="0"/>
        <v>1680</v>
      </c>
      <c r="AB35" s="12">
        <f t="shared" si="1"/>
        <v>4804.8</v>
      </c>
      <c r="AC35" s="12">
        <f t="shared" si="2"/>
        <v>4204.8</v>
      </c>
      <c r="AD35" s="41">
        <v>2.4900000000000002</v>
      </c>
      <c r="AE35" s="22">
        <f t="shared" si="6"/>
        <v>3.2370000000000005</v>
      </c>
    </row>
    <row r="36" spans="1:31" ht="15" customHeight="1" x14ac:dyDescent="0.3">
      <c r="A36" s="19" t="s">
        <v>47</v>
      </c>
      <c r="B36" s="25"/>
      <c r="C36" s="25"/>
      <c r="D36" s="20">
        <v>0</v>
      </c>
      <c r="E36" s="20">
        <v>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2">
        <v>600</v>
      </c>
      <c r="Z36" s="16">
        <v>24</v>
      </c>
      <c r="AA36" s="16">
        <f t="shared" si="0"/>
        <v>0</v>
      </c>
      <c r="AB36" s="12">
        <f t="shared" si="1"/>
        <v>0</v>
      </c>
      <c r="AC36" s="12">
        <f t="shared" si="2"/>
        <v>-600</v>
      </c>
      <c r="AD36" s="42"/>
      <c r="AE36" s="19"/>
    </row>
    <row r="37" spans="1:31" ht="15" customHeight="1" x14ac:dyDescent="0.3">
      <c r="A37" s="22" t="s">
        <v>38</v>
      </c>
      <c r="B37" s="23">
        <v>50</v>
      </c>
      <c r="C37" s="23">
        <v>70</v>
      </c>
      <c r="D37" s="24">
        <v>0.05</v>
      </c>
      <c r="E37" s="24">
        <v>0.05</v>
      </c>
      <c r="F37" s="22">
        <v>3.32</v>
      </c>
      <c r="G37" s="22">
        <v>3.37</v>
      </c>
      <c r="H37" s="22">
        <v>3.42</v>
      </c>
      <c r="I37" s="22">
        <v>3.45</v>
      </c>
      <c r="J37" s="22">
        <v>3.49</v>
      </c>
      <c r="K37" s="22">
        <v>3.54</v>
      </c>
      <c r="L37" s="22">
        <v>3.59</v>
      </c>
      <c r="M37" s="22">
        <v>3.64</v>
      </c>
      <c r="N37" s="22">
        <v>3.64</v>
      </c>
      <c r="O37" s="22">
        <v>3.79</v>
      </c>
      <c r="P37" s="22">
        <v>3.84</v>
      </c>
      <c r="Q37" s="22">
        <v>3.89</v>
      </c>
      <c r="R37" s="22">
        <f t="shared" si="3"/>
        <v>3.32</v>
      </c>
      <c r="S37" s="22">
        <f t="shared" si="4"/>
        <v>3.3699999999999997</v>
      </c>
      <c r="T37" s="22">
        <v>4.2699999999999996</v>
      </c>
      <c r="U37" s="22">
        <v>4.33</v>
      </c>
      <c r="V37" s="22">
        <v>3.82</v>
      </c>
      <c r="W37" s="22">
        <v>3.66</v>
      </c>
      <c r="X37" s="22">
        <v>3.84</v>
      </c>
      <c r="Y37" s="12">
        <v>600</v>
      </c>
      <c r="Z37" s="16">
        <v>24</v>
      </c>
      <c r="AA37" s="16">
        <f t="shared" si="0"/>
        <v>1680</v>
      </c>
      <c r="AB37" s="12">
        <f t="shared" si="1"/>
        <v>5577.5999999999995</v>
      </c>
      <c r="AC37" s="12">
        <f t="shared" si="2"/>
        <v>4977.5999999999995</v>
      </c>
      <c r="AD37" s="41">
        <f t="shared" si="5"/>
        <v>2.9628571428571426</v>
      </c>
      <c r="AE37" s="22">
        <f t="shared" si="6"/>
        <v>3.8517142857142854</v>
      </c>
    </row>
    <row r="38" spans="1:31" ht="15" customHeight="1" x14ac:dyDescent="0.3">
      <c r="A38" s="22" t="s">
        <v>39</v>
      </c>
      <c r="B38" s="23">
        <v>50</v>
      </c>
      <c r="C38" s="23">
        <v>70</v>
      </c>
      <c r="D38" s="24">
        <v>0.05</v>
      </c>
      <c r="E38" s="24">
        <v>0.05</v>
      </c>
      <c r="F38" s="22">
        <v>3.32</v>
      </c>
      <c r="G38" s="22">
        <v>3.37</v>
      </c>
      <c r="H38" s="22">
        <v>3.42</v>
      </c>
      <c r="I38" s="22">
        <v>3.45</v>
      </c>
      <c r="J38" s="22">
        <v>3.49</v>
      </c>
      <c r="K38" s="22">
        <v>3.54</v>
      </c>
      <c r="L38" s="22">
        <v>3.59</v>
      </c>
      <c r="M38" s="22">
        <v>3.64</v>
      </c>
      <c r="N38" s="22">
        <v>3.64</v>
      </c>
      <c r="O38" s="22">
        <v>3.79</v>
      </c>
      <c r="P38" s="22">
        <v>3.84</v>
      </c>
      <c r="Q38" s="22">
        <v>3.89</v>
      </c>
      <c r="R38" s="22">
        <f t="shared" si="3"/>
        <v>3.32</v>
      </c>
      <c r="S38" s="22">
        <f t="shared" si="4"/>
        <v>3.3699999999999997</v>
      </c>
      <c r="T38" s="22">
        <v>4.2699999999999996</v>
      </c>
      <c r="U38" s="22">
        <v>4.33</v>
      </c>
      <c r="V38" s="22">
        <v>3.82</v>
      </c>
      <c r="W38" s="22">
        <v>3.66</v>
      </c>
      <c r="X38" s="22">
        <v>3.84</v>
      </c>
      <c r="Y38" s="12">
        <v>600</v>
      </c>
      <c r="Z38" s="16">
        <v>24</v>
      </c>
      <c r="AA38" s="16">
        <f t="shared" si="0"/>
        <v>1680</v>
      </c>
      <c r="AB38" s="12">
        <f t="shared" si="1"/>
        <v>5577.5999999999995</v>
      </c>
      <c r="AC38" s="12">
        <f t="shared" si="2"/>
        <v>4977.5999999999995</v>
      </c>
      <c r="AD38" s="41">
        <f t="shared" si="5"/>
        <v>2.9628571428571426</v>
      </c>
      <c r="AE38" s="22">
        <f t="shared" si="6"/>
        <v>3.8517142857142854</v>
      </c>
    </row>
    <row r="39" spans="1:31" ht="15" customHeight="1" x14ac:dyDescent="0.3">
      <c r="A39" s="22" t="s">
        <v>40</v>
      </c>
      <c r="B39" s="23">
        <v>50</v>
      </c>
      <c r="C39" s="23">
        <v>70</v>
      </c>
      <c r="D39" s="24">
        <v>0.05</v>
      </c>
      <c r="E39" s="24">
        <v>0.05</v>
      </c>
      <c r="F39" s="22">
        <v>3.32</v>
      </c>
      <c r="G39" s="22">
        <v>3.37</v>
      </c>
      <c r="H39" s="22">
        <v>3.42</v>
      </c>
      <c r="I39" s="22">
        <v>3.45</v>
      </c>
      <c r="J39" s="22">
        <v>3.49</v>
      </c>
      <c r="K39" s="22">
        <v>3.54</v>
      </c>
      <c r="L39" s="22">
        <v>3.59</v>
      </c>
      <c r="M39" s="22">
        <v>3.64</v>
      </c>
      <c r="N39" s="22">
        <v>3.64</v>
      </c>
      <c r="O39" s="22">
        <v>3.79</v>
      </c>
      <c r="P39" s="22">
        <v>3.84</v>
      </c>
      <c r="Q39" s="22">
        <v>3.89</v>
      </c>
      <c r="R39" s="22">
        <f t="shared" si="3"/>
        <v>3.32</v>
      </c>
      <c r="S39" s="22">
        <f t="shared" si="4"/>
        <v>3.3699999999999997</v>
      </c>
      <c r="T39" s="22">
        <v>4.2699999999999996</v>
      </c>
      <c r="U39" s="22">
        <v>4.33</v>
      </c>
      <c r="V39" s="22">
        <v>3.82</v>
      </c>
      <c r="W39" s="22">
        <v>3.66</v>
      </c>
      <c r="X39" s="22">
        <v>3.84</v>
      </c>
      <c r="Y39" s="12">
        <v>600</v>
      </c>
      <c r="Z39" s="16">
        <v>24</v>
      </c>
      <c r="AA39" s="16">
        <f t="shared" si="0"/>
        <v>1680</v>
      </c>
      <c r="AB39" s="12">
        <f t="shared" si="1"/>
        <v>5577.5999999999995</v>
      </c>
      <c r="AC39" s="12">
        <f t="shared" si="2"/>
        <v>4977.5999999999995</v>
      </c>
      <c r="AD39" s="41">
        <f t="shared" si="5"/>
        <v>2.9628571428571426</v>
      </c>
      <c r="AE39" s="22">
        <f t="shared" si="6"/>
        <v>3.8517142857142854</v>
      </c>
    </row>
    <row r="40" spans="1:31" ht="15" customHeight="1" x14ac:dyDescent="0.3">
      <c r="A40" s="22" t="s">
        <v>66</v>
      </c>
      <c r="B40" s="23">
        <v>50</v>
      </c>
      <c r="C40" s="23">
        <v>70</v>
      </c>
      <c r="D40" s="24">
        <v>0.05</v>
      </c>
      <c r="E40" s="24">
        <v>0.05</v>
      </c>
      <c r="F40" s="22">
        <v>3.59</v>
      </c>
      <c r="G40" s="22">
        <v>3.64</v>
      </c>
      <c r="H40" s="22">
        <v>3.69</v>
      </c>
      <c r="I40" s="22">
        <v>3.69</v>
      </c>
      <c r="J40" s="22">
        <v>3.74</v>
      </c>
      <c r="K40" s="22">
        <v>3.79</v>
      </c>
      <c r="L40" s="22">
        <v>3.79</v>
      </c>
      <c r="M40" s="22">
        <v>3.84</v>
      </c>
      <c r="N40" s="22">
        <v>3.84</v>
      </c>
      <c r="O40" s="22">
        <v>3.89</v>
      </c>
      <c r="P40" s="22">
        <v>3.94</v>
      </c>
      <c r="Q40" s="22">
        <v>3.99</v>
      </c>
      <c r="R40" s="22">
        <f t="shared" si="3"/>
        <v>3.59</v>
      </c>
      <c r="S40" s="22">
        <f t="shared" si="4"/>
        <v>3.6399999999999997</v>
      </c>
      <c r="T40" s="22">
        <v>4.59</v>
      </c>
      <c r="U40" s="22">
        <v>4.6500000000000004</v>
      </c>
      <c r="V40" s="22">
        <v>4.08</v>
      </c>
      <c r="W40" s="22">
        <v>3.93</v>
      </c>
      <c r="X40" s="22">
        <v>4.13</v>
      </c>
      <c r="Y40" s="12">
        <v>600</v>
      </c>
      <c r="Z40" s="16">
        <v>24</v>
      </c>
      <c r="AA40" s="16">
        <f t="shared" si="0"/>
        <v>1680</v>
      </c>
      <c r="AB40" s="12">
        <f t="shared" si="1"/>
        <v>6031.2</v>
      </c>
      <c r="AC40" s="12">
        <f t="shared" si="2"/>
        <v>5431.2</v>
      </c>
      <c r="AD40" s="41">
        <f t="shared" si="5"/>
        <v>3.2328571428571427</v>
      </c>
      <c r="AE40" s="22">
        <f t="shared" si="6"/>
        <v>4.2027142857142854</v>
      </c>
    </row>
    <row r="41" spans="1:31" ht="15" customHeight="1" x14ac:dyDescent="0.3">
      <c r="A41" s="22" t="s">
        <v>67</v>
      </c>
      <c r="B41" s="23">
        <v>50</v>
      </c>
      <c r="C41" s="23">
        <v>70</v>
      </c>
      <c r="D41" s="24">
        <v>0.05</v>
      </c>
      <c r="E41" s="24">
        <v>0.05</v>
      </c>
      <c r="F41" s="22">
        <v>3.32</v>
      </c>
      <c r="G41" s="22">
        <v>3.37</v>
      </c>
      <c r="H41" s="22">
        <v>3.42</v>
      </c>
      <c r="I41" s="22">
        <v>3.45</v>
      </c>
      <c r="J41" s="22">
        <v>3.49</v>
      </c>
      <c r="K41" s="22">
        <v>3.54</v>
      </c>
      <c r="L41" s="22">
        <v>3.59</v>
      </c>
      <c r="M41" s="22">
        <v>3.64</v>
      </c>
      <c r="N41" s="22">
        <v>3.64</v>
      </c>
      <c r="O41" s="22">
        <v>3.79</v>
      </c>
      <c r="P41" s="22">
        <v>3.84</v>
      </c>
      <c r="Q41" s="22">
        <v>3.89</v>
      </c>
      <c r="R41" s="22">
        <f t="shared" si="3"/>
        <v>3.32</v>
      </c>
      <c r="S41" s="22">
        <f t="shared" si="4"/>
        <v>3.3699999999999997</v>
      </c>
      <c r="T41" s="22">
        <v>4.2699999999999996</v>
      </c>
      <c r="U41" s="22">
        <v>4.33</v>
      </c>
      <c r="V41" s="22">
        <v>3.82</v>
      </c>
      <c r="W41" s="22">
        <v>3.66</v>
      </c>
      <c r="X41" s="22">
        <v>3.84</v>
      </c>
      <c r="Y41" s="12">
        <v>600</v>
      </c>
      <c r="Z41" s="16">
        <v>24</v>
      </c>
      <c r="AA41" s="16">
        <f t="shared" si="0"/>
        <v>1680</v>
      </c>
      <c r="AB41" s="12">
        <f t="shared" si="1"/>
        <v>5577.5999999999995</v>
      </c>
      <c r="AC41" s="12">
        <f t="shared" si="2"/>
        <v>4977.5999999999995</v>
      </c>
      <c r="AD41" s="41">
        <f t="shared" si="5"/>
        <v>2.9628571428571426</v>
      </c>
      <c r="AE41" s="22">
        <f t="shared" si="6"/>
        <v>3.8517142857142854</v>
      </c>
    </row>
    <row r="42" spans="1:31" ht="15" customHeight="1" x14ac:dyDescent="0.3">
      <c r="A42" s="22" t="s">
        <v>68</v>
      </c>
      <c r="B42" s="23">
        <v>56</v>
      </c>
      <c r="C42" s="23">
        <v>70</v>
      </c>
      <c r="D42" s="24">
        <v>0.1</v>
      </c>
      <c r="E42" s="24">
        <v>0.05</v>
      </c>
      <c r="F42" s="22">
        <v>3.65</v>
      </c>
      <c r="G42" s="22">
        <v>3.75</v>
      </c>
      <c r="H42" s="22">
        <v>3.8</v>
      </c>
      <c r="I42" s="22">
        <v>3.8</v>
      </c>
      <c r="J42" s="22">
        <v>3.9</v>
      </c>
      <c r="K42" s="22">
        <v>3.95</v>
      </c>
      <c r="L42" s="22">
        <v>3.95</v>
      </c>
      <c r="M42" s="22">
        <v>4.05</v>
      </c>
      <c r="N42" s="22">
        <v>4.0999999999999996</v>
      </c>
      <c r="O42" s="22">
        <v>4.0999999999999996</v>
      </c>
      <c r="P42" s="22">
        <v>4.2</v>
      </c>
      <c r="Q42" s="22">
        <v>4.25</v>
      </c>
      <c r="R42" s="22">
        <f t="shared" si="3"/>
        <v>3.65</v>
      </c>
      <c r="S42" s="22">
        <f t="shared" si="4"/>
        <v>3.75</v>
      </c>
      <c r="T42" s="22">
        <v>4.75</v>
      </c>
      <c r="U42" s="22">
        <v>4.87</v>
      </c>
      <c r="V42" s="22">
        <v>4.88</v>
      </c>
      <c r="W42" s="22">
        <v>4.0999999999999996</v>
      </c>
      <c r="X42" s="22">
        <v>4.3099999999999996</v>
      </c>
      <c r="Y42" s="12">
        <v>600</v>
      </c>
      <c r="Z42" s="16">
        <v>24</v>
      </c>
      <c r="AA42" s="16">
        <f t="shared" si="0"/>
        <v>1680</v>
      </c>
      <c r="AB42" s="12">
        <f t="shared" si="1"/>
        <v>6132</v>
      </c>
      <c r="AC42" s="12">
        <f t="shared" si="2"/>
        <v>5532</v>
      </c>
      <c r="AD42" s="41">
        <f t="shared" si="5"/>
        <v>3.2928571428571427</v>
      </c>
      <c r="AE42" s="22">
        <f t="shared" si="6"/>
        <v>4.2807142857142857</v>
      </c>
    </row>
    <row r="43" spans="1:31" ht="15" customHeight="1" x14ac:dyDescent="0.3">
      <c r="A43" s="19" t="s">
        <v>46</v>
      </c>
      <c r="B43" s="25"/>
      <c r="C43" s="25"/>
      <c r="D43" s="20">
        <v>0</v>
      </c>
      <c r="E43" s="20">
        <v>0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2">
        <v>600</v>
      </c>
      <c r="Z43" s="16">
        <v>24</v>
      </c>
      <c r="AA43" s="16">
        <f t="shared" si="0"/>
        <v>0</v>
      </c>
      <c r="AB43" s="12">
        <f t="shared" si="1"/>
        <v>0</v>
      </c>
      <c r="AC43" s="12">
        <f t="shared" si="2"/>
        <v>-600</v>
      </c>
      <c r="AD43" s="42"/>
      <c r="AE43" s="19"/>
    </row>
    <row r="44" spans="1:31" ht="15" customHeight="1" x14ac:dyDescent="0.3">
      <c r="A44" s="22" t="s">
        <v>24</v>
      </c>
      <c r="B44" s="23">
        <v>50</v>
      </c>
      <c r="C44" s="23">
        <v>80</v>
      </c>
      <c r="D44" s="24">
        <v>0.1</v>
      </c>
      <c r="E44" s="24">
        <v>0.05</v>
      </c>
      <c r="F44" s="22">
        <v>3.25</v>
      </c>
      <c r="G44" s="22">
        <v>3.35</v>
      </c>
      <c r="H44" s="22">
        <v>3.4</v>
      </c>
      <c r="I44" s="22">
        <v>3.38</v>
      </c>
      <c r="J44" s="22">
        <v>3.48</v>
      </c>
      <c r="K44" s="22">
        <v>3.53</v>
      </c>
      <c r="L44" s="22">
        <v>3.51</v>
      </c>
      <c r="M44" s="22">
        <v>3.61</v>
      </c>
      <c r="N44" s="22">
        <v>3.66</v>
      </c>
      <c r="O44" s="22">
        <v>3.7</v>
      </c>
      <c r="P44" s="22">
        <v>3.8</v>
      </c>
      <c r="Q44" s="22">
        <v>3.85</v>
      </c>
      <c r="R44" s="22">
        <f t="shared" si="3"/>
        <v>3.25</v>
      </c>
      <c r="S44" s="22">
        <f t="shared" si="4"/>
        <v>3.35</v>
      </c>
      <c r="T44" s="22">
        <v>3.8</v>
      </c>
      <c r="U44" s="22">
        <v>3.92</v>
      </c>
      <c r="V44" s="22">
        <v>4.05</v>
      </c>
      <c r="W44" s="22">
        <v>3.67</v>
      </c>
      <c r="X44" s="22">
        <v>3.85</v>
      </c>
      <c r="Y44" s="12">
        <v>600</v>
      </c>
      <c r="Z44" s="16">
        <v>24</v>
      </c>
      <c r="AA44" s="16">
        <f t="shared" si="0"/>
        <v>1920</v>
      </c>
      <c r="AB44" s="12">
        <f t="shared" si="1"/>
        <v>6240</v>
      </c>
      <c r="AC44" s="12">
        <f t="shared" si="2"/>
        <v>5640</v>
      </c>
      <c r="AD44" s="41">
        <f t="shared" si="5"/>
        <v>2.9375</v>
      </c>
      <c r="AE44" s="22">
        <f t="shared" si="6"/>
        <v>3.8187500000000001</v>
      </c>
    </row>
    <row r="45" spans="1:31" ht="15" customHeight="1" x14ac:dyDescent="0.3">
      <c r="A45" s="22" t="s">
        <v>25</v>
      </c>
      <c r="B45" s="23">
        <v>56</v>
      </c>
      <c r="C45" s="23">
        <v>80</v>
      </c>
      <c r="D45" s="24">
        <v>0.1</v>
      </c>
      <c r="E45" s="24">
        <v>0.05</v>
      </c>
      <c r="F45" s="22">
        <v>2.85</v>
      </c>
      <c r="G45" s="22">
        <v>2.95</v>
      </c>
      <c r="H45" s="22">
        <v>3</v>
      </c>
      <c r="I45" s="22">
        <v>2.97</v>
      </c>
      <c r="J45" s="22">
        <v>3.07</v>
      </c>
      <c r="K45" s="22">
        <v>3.12</v>
      </c>
      <c r="L45" s="22">
        <v>3.08</v>
      </c>
      <c r="M45" s="22">
        <v>3.18</v>
      </c>
      <c r="N45" s="22">
        <v>3.23</v>
      </c>
      <c r="O45" s="22">
        <v>3.25</v>
      </c>
      <c r="P45" s="22">
        <v>3.35</v>
      </c>
      <c r="Q45" s="22">
        <v>3.4</v>
      </c>
      <c r="R45" s="22">
        <f t="shared" si="3"/>
        <v>2.85</v>
      </c>
      <c r="S45" s="22">
        <f t="shared" si="4"/>
        <v>2.95</v>
      </c>
      <c r="T45" s="22">
        <v>3.33</v>
      </c>
      <c r="U45" s="22">
        <v>3.45</v>
      </c>
      <c r="V45" s="22">
        <v>3.68</v>
      </c>
      <c r="W45" s="22">
        <v>3.23</v>
      </c>
      <c r="X45" s="22">
        <v>3.39</v>
      </c>
      <c r="Y45" s="12">
        <v>600</v>
      </c>
      <c r="Z45" s="16">
        <v>24</v>
      </c>
      <c r="AA45" s="16">
        <f t="shared" si="0"/>
        <v>1920</v>
      </c>
      <c r="AB45" s="12">
        <f t="shared" si="1"/>
        <v>5472</v>
      </c>
      <c r="AC45" s="12">
        <f t="shared" si="2"/>
        <v>4872</v>
      </c>
      <c r="AD45" s="41">
        <f t="shared" si="5"/>
        <v>2.5375000000000001</v>
      </c>
      <c r="AE45" s="22">
        <f t="shared" si="6"/>
        <v>3.2987500000000001</v>
      </c>
    </row>
    <row r="46" spans="1:31" ht="15" hidden="1" customHeight="1" x14ac:dyDescent="0.3">
      <c r="A46" s="19" t="s">
        <v>45</v>
      </c>
      <c r="B46" s="25"/>
      <c r="C46" s="25"/>
      <c r="D46" s="20">
        <v>0</v>
      </c>
      <c r="E46" s="20">
        <v>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2">
        <v>600</v>
      </c>
      <c r="Z46" s="16">
        <v>24</v>
      </c>
      <c r="AA46" s="16">
        <f t="shared" si="0"/>
        <v>0</v>
      </c>
      <c r="AB46" s="12">
        <f t="shared" si="1"/>
        <v>0</v>
      </c>
      <c r="AC46" s="12">
        <f t="shared" si="2"/>
        <v>-600</v>
      </c>
      <c r="AD46" s="19"/>
      <c r="AE46" s="12">
        <f t="shared" ref="AE46:AE53" si="7">SUM(AD46*1.13)</f>
        <v>0</v>
      </c>
    </row>
    <row r="47" spans="1:31" ht="15" hidden="1" customHeight="1" x14ac:dyDescent="0.3">
      <c r="A47" s="22" t="s">
        <v>2</v>
      </c>
      <c r="B47" s="23">
        <v>60</v>
      </c>
      <c r="C47" s="23">
        <v>80</v>
      </c>
      <c r="D47" s="24">
        <v>0.05</v>
      </c>
      <c r="E47" s="24">
        <v>0.05</v>
      </c>
      <c r="F47" s="22">
        <v>2.78</v>
      </c>
      <c r="G47" s="22">
        <v>2.83</v>
      </c>
      <c r="H47" s="22">
        <v>2.88</v>
      </c>
      <c r="I47" s="22">
        <v>2.9</v>
      </c>
      <c r="J47" s="22">
        <v>2.95</v>
      </c>
      <c r="K47" s="22">
        <v>3</v>
      </c>
      <c r="L47" s="22">
        <v>3</v>
      </c>
      <c r="M47" s="22">
        <v>3.05</v>
      </c>
      <c r="N47" s="22">
        <v>3.1</v>
      </c>
      <c r="O47" s="22">
        <v>3.17</v>
      </c>
      <c r="P47" s="22">
        <v>3.22</v>
      </c>
      <c r="Q47" s="22">
        <v>3.27</v>
      </c>
      <c r="R47" s="22">
        <f t="shared" si="3"/>
        <v>2.78</v>
      </c>
      <c r="S47" s="22">
        <f t="shared" si="4"/>
        <v>2.8299999999999996</v>
      </c>
      <c r="T47" s="22">
        <v>3.26</v>
      </c>
      <c r="U47" s="22">
        <v>3.31</v>
      </c>
      <c r="V47" s="22">
        <v>3.56</v>
      </c>
      <c r="W47" s="22">
        <v>3.1</v>
      </c>
      <c r="X47" s="22">
        <v>3.25</v>
      </c>
      <c r="Y47" s="12">
        <v>600</v>
      </c>
      <c r="Z47" s="16">
        <v>24</v>
      </c>
      <c r="AA47" s="16">
        <f t="shared" si="0"/>
        <v>1920</v>
      </c>
      <c r="AB47" s="12">
        <f t="shared" si="1"/>
        <v>5337.5999999999995</v>
      </c>
      <c r="AC47" s="12">
        <f t="shared" si="2"/>
        <v>4737.5999999999995</v>
      </c>
      <c r="AD47" s="22">
        <f t="shared" si="5"/>
        <v>2.4674999999999998</v>
      </c>
      <c r="AE47" s="12">
        <f t="shared" si="7"/>
        <v>2.7882749999999996</v>
      </c>
    </row>
    <row r="48" spans="1:31" ht="15" hidden="1" customHeight="1" x14ac:dyDescent="0.3">
      <c r="A48" s="22" t="s">
        <v>3</v>
      </c>
      <c r="B48" s="23">
        <v>60</v>
      </c>
      <c r="C48" s="23">
        <v>70</v>
      </c>
      <c r="D48" s="24">
        <v>0.05</v>
      </c>
      <c r="E48" s="24">
        <v>0.05</v>
      </c>
      <c r="F48" s="22">
        <v>3.04</v>
      </c>
      <c r="G48" s="22">
        <v>3.09</v>
      </c>
      <c r="H48" s="22">
        <v>3.14</v>
      </c>
      <c r="I48" s="22">
        <v>3.16</v>
      </c>
      <c r="J48" s="22">
        <v>3.21</v>
      </c>
      <c r="K48" s="22">
        <v>3.26</v>
      </c>
      <c r="L48" s="22">
        <v>3.28</v>
      </c>
      <c r="M48" s="22">
        <v>3.33</v>
      </c>
      <c r="N48" s="22">
        <v>3.38</v>
      </c>
      <c r="O48" s="22">
        <v>3.46</v>
      </c>
      <c r="P48" s="22">
        <v>3.51</v>
      </c>
      <c r="Q48" s="22">
        <v>3.56</v>
      </c>
      <c r="R48" s="22">
        <f t="shared" si="3"/>
        <v>3.04</v>
      </c>
      <c r="S48" s="22">
        <f t="shared" si="4"/>
        <v>3.09</v>
      </c>
      <c r="T48" s="22">
        <v>3.55</v>
      </c>
      <c r="U48" s="22">
        <v>3.61</v>
      </c>
      <c r="V48" s="22">
        <v>3.93</v>
      </c>
      <c r="W48" s="22">
        <v>3.38</v>
      </c>
      <c r="X48" s="22">
        <v>3.54</v>
      </c>
      <c r="Y48" s="12">
        <v>600</v>
      </c>
      <c r="Z48" s="16">
        <v>24</v>
      </c>
      <c r="AA48" s="16">
        <f t="shared" si="0"/>
        <v>1680</v>
      </c>
      <c r="AB48" s="12">
        <f t="shared" si="1"/>
        <v>5107.2</v>
      </c>
      <c r="AC48" s="12">
        <f t="shared" si="2"/>
        <v>4507.2</v>
      </c>
      <c r="AD48" s="22">
        <f t="shared" si="5"/>
        <v>2.6828571428571428</v>
      </c>
      <c r="AE48" s="12">
        <f t="shared" si="7"/>
        <v>3.0316285714285711</v>
      </c>
    </row>
    <row r="49" spans="1:31" ht="15" hidden="1" customHeight="1" x14ac:dyDescent="0.3">
      <c r="A49" s="22" t="s">
        <v>10</v>
      </c>
      <c r="B49" s="23">
        <v>25</v>
      </c>
      <c r="C49" s="23">
        <v>70</v>
      </c>
      <c r="D49" s="24">
        <v>0.1</v>
      </c>
      <c r="E49" s="24">
        <v>0.05</v>
      </c>
      <c r="F49" s="22">
        <v>2.0499999999999998</v>
      </c>
      <c r="G49" s="22">
        <v>2.15</v>
      </c>
      <c r="H49" s="22">
        <v>2.2000000000000002</v>
      </c>
      <c r="I49" s="22">
        <v>2.14</v>
      </c>
      <c r="J49" s="22">
        <v>2.2400000000000002</v>
      </c>
      <c r="K49" s="22">
        <v>2.29</v>
      </c>
      <c r="L49" s="22">
        <v>2.21</v>
      </c>
      <c r="M49" s="22">
        <v>2.31</v>
      </c>
      <c r="N49" s="22">
        <v>2.36</v>
      </c>
      <c r="O49" s="22">
        <v>2.34</v>
      </c>
      <c r="P49" s="22">
        <v>2.44</v>
      </c>
      <c r="Q49" s="22">
        <v>2.4900000000000002</v>
      </c>
      <c r="R49" s="22">
        <f t="shared" si="3"/>
        <v>2.0499999999999998</v>
      </c>
      <c r="S49" s="22">
        <f t="shared" si="4"/>
        <v>2.15</v>
      </c>
      <c r="T49" s="22">
        <v>2.4</v>
      </c>
      <c r="U49" s="22">
        <v>2.5099999999999998</v>
      </c>
      <c r="V49" s="22">
        <v>3.17</v>
      </c>
      <c r="W49" s="22">
        <v>2.36</v>
      </c>
      <c r="X49" s="22">
        <v>2.48</v>
      </c>
      <c r="Y49" s="12">
        <v>600</v>
      </c>
      <c r="Z49" s="16">
        <v>24</v>
      </c>
      <c r="AA49" s="16">
        <f t="shared" si="0"/>
        <v>1680</v>
      </c>
      <c r="AB49" s="12">
        <f t="shared" si="1"/>
        <v>3443.9999999999995</v>
      </c>
      <c r="AC49" s="12">
        <f t="shared" si="2"/>
        <v>2843.9999999999995</v>
      </c>
      <c r="AD49" s="22">
        <f t="shared" si="5"/>
        <v>1.6928571428571426</v>
      </c>
      <c r="AE49" s="12">
        <f t="shared" si="7"/>
        <v>1.9129285714285709</v>
      </c>
    </row>
    <row r="50" spans="1:31" ht="15" hidden="1" customHeight="1" x14ac:dyDescent="0.3">
      <c r="A50" s="22" t="s">
        <v>11</v>
      </c>
      <c r="B50" s="23">
        <v>25</v>
      </c>
      <c r="C50" s="23">
        <v>70</v>
      </c>
      <c r="D50" s="24">
        <v>0.1</v>
      </c>
      <c r="E50" s="24">
        <v>0.05</v>
      </c>
      <c r="F50" s="22">
        <v>2.0499999999999998</v>
      </c>
      <c r="G50" s="22">
        <v>2.15</v>
      </c>
      <c r="H50" s="22">
        <v>2.2000000000000002</v>
      </c>
      <c r="I50" s="22">
        <v>2.14</v>
      </c>
      <c r="J50" s="22">
        <v>2.2400000000000002</v>
      </c>
      <c r="K50" s="22">
        <v>2.29</v>
      </c>
      <c r="L50" s="22">
        <v>2.21</v>
      </c>
      <c r="M50" s="22">
        <v>2.31</v>
      </c>
      <c r="N50" s="22">
        <v>2.36</v>
      </c>
      <c r="O50" s="22">
        <v>2.34</v>
      </c>
      <c r="P50" s="22">
        <v>2.44</v>
      </c>
      <c r="Q50" s="22">
        <v>2.4900000000000002</v>
      </c>
      <c r="R50" s="22">
        <f t="shared" si="3"/>
        <v>2.0499999999999998</v>
      </c>
      <c r="S50" s="22">
        <f t="shared" si="4"/>
        <v>2.15</v>
      </c>
      <c r="T50" s="22">
        <v>2.4</v>
      </c>
      <c r="U50" s="22">
        <v>2.5099999999999998</v>
      </c>
      <c r="V50" s="22">
        <v>3.17</v>
      </c>
      <c r="W50" s="22">
        <v>2.36</v>
      </c>
      <c r="X50" s="22">
        <v>2.48</v>
      </c>
      <c r="Y50" s="12">
        <v>600</v>
      </c>
      <c r="Z50" s="16">
        <v>24</v>
      </c>
      <c r="AA50" s="16">
        <f t="shared" si="0"/>
        <v>1680</v>
      </c>
      <c r="AB50" s="12">
        <f t="shared" si="1"/>
        <v>3443.9999999999995</v>
      </c>
      <c r="AC50" s="12">
        <f t="shared" si="2"/>
        <v>2843.9999999999995</v>
      </c>
      <c r="AD50" s="22">
        <f t="shared" si="5"/>
        <v>1.6928571428571426</v>
      </c>
      <c r="AE50" s="12">
        <f t="shared" si="7"/>
        <v>1.9129285714285709</v>
      </c>
    </row>
    <row r="51" spans="1:31" ht="15" hidden="1" customHeight="1" x14ac:dyDescent="0.3">
      <c r="A51" s="22" t="s">
        <v>12</v>
      </c>
      <c r="B51" s="23">
        <v>25</v>
      </c>
      <c r="C51" s="23">
        <v>70</v>
      </c>
      <c r="D51" s="24">
        <v>0.1</v>
      </c>
      <c r="E51" s="24">
        <v>0.05</v>
      </c>
      <c r="F51" s="22">
        <v>2.0499999999999998</v>
      </c>
      <c r="G51" s="22">
        <v>2.15</v>
      </c>
      <c r="H51" s="22">
        <v>2.2000000000000002</v>
      </c>
      <c r="I51" s="22">
        <v>2.14</v>
      </c>
      <c r="J51" s="22">
        <v>2.2400000000000002</v>
      </c>
      <c r="K51" s="22">
        <v>2.29</v>
      </c>
      <c r="L51" s="22">
        <v>2.21</v>
      </c>
      <c r="M51" s="22">
        <v>2.31</v>
      </c>
      <c r="N51" s="22">
        <v>2.36</v>
      </c>
      <c r="O51" s="22">
        <v>2.34</v>
      </c>
      <c r="P51" s="22">
        <v>2.44</v>
      </c>
      <c r="Q51" s="22">
        <v>2.4900000000000002</v>
      </c>
      <c r="R51" s="22">
        <f t="shared" si="3"/>
        <v>2.0499999999999998</v>
      </c>
      <c r="S51" s="22">
        <f t="shared" si="4"/>
        <v>2.15</v>
      </c>
      <c r="T51" s="22">
        <v>2.4</v>
      </c>
      <c r="U51" s="22">
        <v>2.5099999999999998</v>
      </c>
      <c r="V51" s="22">
        <v>3.17</v>
      </c>
      <c r="W51" s="22">
        <v>2.36</v>
      </c>
      <c r="X51" s="22">
        <v>2.48</v>
      </c>
      <c r="Y51" s="12">
        <v>600</v>
      </c>
      <c r="Z51" s="16">
        <v>24</v>
      </c>
      <c r="AA51" s="16">
        <f t="shared" si="0"/>
        <v>1680</v>
      </c>
      <c r="AB51" s="12">
        <f t="shared" si="1"/>
        <v>3443.9999999999995</v>
      </c>
      <c r="AC51" s="12">
        <f t="shared" si="2"/>
        <v>2843.9999999999995</v>
      </c>
      <c r="AD51" s="22">
        <f t="shared" si="5"/>
        <v>1.6928571428571426</v>
      </c>
      <c r="AE51" s="12">
        <f t="shared" si="7"/>
        <v>1.9129285714285709</v>
      </c>
    </row>
    <row r="52" spans="1:31" ht="15" hidden="1" customHeight="1" x14ac:dyDescent="0.3">
      <c r="A52" s="22" t="s">
        <v>13</v>
      </c>
      <c r="B52" s="23">
        <v>25</v>
      </c>
      <c r="C52" s="23">
        <v>70</v>
      </c>
      <c r="D52" s="24">
        <v>0.1</v>
      </c>
      <c r="E52" s="24">
        <v>0.05</v>
      </c>
      <c r="F52" s="22">
        <v>2.0499999999999998</v>
      </c>
      <c r="G52" s="22">
        <v>2.15</v>
      </c>
      <c r="H52" s="22">
        <v>2.2000000000000002</v>
      </c>
      <c r="I52" s="22">
        <v>2.14</v>
      </c>
      <c r="J52" s="22">
        <v>2.2400000000000002</v>
      </c>
      <c r="K52" s="22">
        <v>2.29</v>
      </c>
      <c r="L52" s="22">
        <v>2.21</v>
      </c>
      <c r="M52" s="22">
        <v>2.31</v>
      </c>
      <c r="N52" s="22">
        <v>2.36</v>
      </c>
      <c r="O52" s="22">
        <v>2.34</v>
      </c>
      <c r="P52" s="22">
        <v>2.44</v>
      </c>
      <c r="Q52" s="22">
        <v>2.4900000000000002</v>
      </c>
      <c r="R52" s="22">
        <f t="shared" si="3"/>
        <v>2.0499999999999998</v>
      </c>
      <c r="S52" s="22">
        <f t="shared" si="4"/>
        <v>2.15</v>
      </c>
      <c r="T52" s="22">
        <v>2.4</v>
      </c>
      <c r="U52" s="22">
        <v>2.5099999999999998</v>
      </c>
      <c r="V52" s="22">
        <v>3.17</v>
      </c>
      <c r="W52" s="22">
        <v>2.36</v>
      </c>
      <c r="X52" s="22">
        <v>2.48</v>
      </c>
      <c r="Y52" s="12">
        <v>600</v>
      </c>
      <c r="Z52" s="16">
        <v>24</v>
      </c>
      <c r="AA52" s="16">
        <f t="shared" si="0"/>
        <v>1680</v>
      </c>
      <c r="AB52" s="12">
        <f t="shared" si="1"/>
        <v>3443.9999999999995</v>
      </c>
      <c r="AC52" s="12">
        <f t="shared" si="2"/>
        <v>2843.9999999999995</v>
      </c>
      <c r="AD52" s="22">
        <f t="shared" si="5"/>
        <v>1.6928571428571426</v>
      </c>
      <c r="AE52" s="12">
        <f t="shared" si="7"/>
        <v>1.9129285714285709</v>
      </c>
    </row>
    <row r="53" spans="1:31" ht="15" hidden="1" customHeight="1" x14ac:dyDescent="0.3">
      <c r="A53" s="22" t="s">
        <v>8</v>
      </c>
      <c r="B53" s="23">
        <v>25</v>
      </c>
      <c r="C53" s="23">
        <v>70</v>
      </c>
      <c r="D53" s="24">
        <v>0.05</v>
      </c>
      <c r="E53" s="24">
        <v>0.05</v>
      </c>
      <c r="F53" s="22">
        <v>2.15</v>
      </c>
      <c r="G53" s="22">
        <v>2.2000000000000002</v>
      </c>
      <c r="H53" s="22">
        <v>2.25</v>
      </c>
      <c r="I53" s="22">
        <v>2.2400000000000002</v>
      </c>
      <c r="J53" s="22">
        <v>2.29</v>
      </c>
      <c r="K53" s="22">
        <v>2.34</v>
      </c>
      <c r="L53" s="22">
        <v>2.3199999999999998</v>
      </c>
      <c r="M53" s="22">
        <v>2.37</v>
      </c>
      <c r="N53" s="22">
        <v>2.42</v>
      </c>
      <c r="O53" s="22">
        <v>2.4500000000000002</v>
      </c>
      <c r="P53" s="22">
        <v>2.5</v>
      </c>
      <c r="Q53" s="22">
        <v>2.5499999999999998</v>
      </c>
      <c r="R53" s="22">
        <f t="shared" si="3"/>
        <v>2.15</v>
      </c>
      <c r="S53" s="22">
        <f t="shared" si="4"/>
        <v>2.1999999999999997</v>
      </c>
      <c r="T53" s="22">
        <v>2.5099999999999998</v>
      </c>
      <c r="U53" s="22">
        <v>2.57</v>
      </c>
      <c r="V53" s="22">
        <v>3.17</v>
      </c>
      <c r="W53" s="22">
        <v>2.4</v>
      </c>
      <c r="X53" s="22">
        <v>2.52</v>
      </c>
      <c r="Y53" s="12">
        <v>600</v>
      </c>
      <c r="Z53" s="16">
        <v>24</v>
      </c>
      <c r="AA53" s="16">
        <f t="shared" si="0"/>
        <v>1680</v>
      </c>
      <c r="AB53" s="12">
        <f t="shared" si="1"/>
        <v>3612</v>
      </c>
      <c r="AC53" s="12">
        <f t="shared" si="2"/>
        <v>3012</v>
      </c>
      <c r="AD53" s="22">
        <f t="shared" si="5"/>
        <v>1.7928571428571429</v>
      </c>
      <c r="AE53" s="12">
        <f t="shared" si="7"/>
        <v>2.0259285714285715</v>
      </c>
    </row>
    <row r="55" spans="1:31" ht="15" customHeight="1" x14ac:dyDescent="0.3">
      <c r="A55" s="26" t="s">
        <v>86</v>
      </c>
      <c r="B55" s="27"/>
      <c r="C55" s="28"/>
      <c r="D55" s="28"/>
      <c r="E55" s="28"/>
    </row>
    <row r="56" spans="1:31" ht="15" customHeight="1" x14ac:dyDescent="0.3">
      <c r="A56" s="29" t="s">
        <v>87</v>
      </c>
      <c r="B56" s="29"/>
      <c r="C56" s="30"/>
      <c r="D56" s="30"/>
      <c r="E56" s="30"/>
    </row>
    <row r="57" spans="1:31" ht="15" customHeight="1" x14ac:dyDescent="0.3">
      <c r="A57" s="29" t="s">
        <v>88</v>
      </c>
      <c r="B57" s="29"/>
      <c r="C57" s="30"/>
      <c r="D57" s="30"/>
      <c r="E57" s="30"/>
    </row>
    <row r="58" spans="1:31" ht="15" customHeight="1" x14ac:dyDescent="0.3">
      <c r="A58" s="29" t="s">
        <v>76</v>
      </c>
      <c r="B58" s="29"/>
      <c r="C58" s="30"/>
      <c r="D58" s="30"/>
      <c r="E58" s="30"/>
    </row>
    <row r="59" spans="1:31" ht="15" customHeight="1" x14ac:dyDescent="0.3">
      <c r="A59" s="29" t="s">
        <v>77</v>
      </c>
      <c r="B59" s="29"/>
      <c r="C59" s="30"/>
      <c r="D59" s="30"/>
      <c r="E59" s="30"/>
    </row>
    <row r="60" spans="1:31" ht="15" customHeight="1" x14ac:dyDescent="0.3">
      <c r="A60" s="29" t="s">
        <v>78</v>
      </c>
      <c r="B60" s="30"/>
      <c r="C60" s="30"/>
      <c r="D60" s="30"/>
      <c r="E60" s="30"/>
    </row>
  </sheetData>
  <mergeCells count="5">
    <mergeCell ref="A8:A9"/>
    <mergeCell ref="B8:B9"/>
    <mergeCell ref="C8:C9"/>
    <mergeCell ref="D8:D9"/>
    <mergeCell ref="E8:E9"/>
  </mergeCells>
  <hyperlinks>
    <hyperlink ref="A60" r:id="rId1" display="www.evergreenhorticulture.co.uk" xr:uid="{E1480665-749F-45E1-A13E-2121DBB3F4D5}"/>
  </hyperlinks>
  <pageMargins left="0.7" right="0.7" top="0.75" bottom="0.75" header="0.3" footer="0.3"/>
  <pageSetup paperSize="9" scale="75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>
      <selection activeCell="H26" sqref="H26"/>
    </sheetView>
  </sheetViews>
  <sheetFormatPr defaultRowHeight="14.4" x14ac:dyDescent="0.3"/>
  <cols>
    <col min="1" max="1" width="35.5546875" style="2" bestFit="1" customWidth="1"/>
    <col min="2" max="5" width="15.5546875" style="2" customWidth="1"/>
  </cols>
  <sheetData>
    <row r="1" spans="1:5" ht="25.8" x14ac:dyDescent="0.3">
      <c r="A1" s="10" t="s">
        <v>74</v>
      </c>
    </row>
    <row r="3" spans="1:5" x14ac:dyDescent="0.3">
      <c r="A3" s="65" t="s">
        <v>0</v>
      </c>
      <c r="B3" s="65" t="s">
        <v>1</v>
      </c>
      <c r="C3" s="65" t="s">
        <v>14</v>
      </c>
      <c r="D3" s="65" t="s">
        <v>72</v>
      </c>
      <c r="E3" s="66" t="s">
        <v>73</v>
      </c>
    </row>
    <row r="4" spans="1:5" x14ac:dyDescent="0.3">
      <c r="A4" s="65"/>
      <c r="B4" s="65"/>
      <c r="C4" s="65"/>
      <c r="D4" s="65"/>
      <c r="E4" s="66"/>
    </row>
    <row r="5" spans="1:5" x14ac:dyDescent="0.3">
      <c r="A5" s="4" t="s">
        <v>48</v>
      </c>
      <c r="B5" s="4"/>
      <c r="C5" s="4"/>
      <c r="D5" s="4"/>
      <c r="E5" s="4"/>
    </row>
    <row r="6" spans="1:5" x14ac:dyDescent="0.3">
      <c r="A6" s="2" t="s">
        <v>2</v>
      </c>
      <c r="B6" s="1">
        <v>10</v>
      </c>
      <c r="C6" s="1">
        <v>300</v>
      </c>
      <c r="D6" s="2">
        <v>0.10000000000000009</v>
      </c>
      <c r="E6" s="2">
        <v>5.0000000000000044E-2</v>
      </c>
    </row>
    <row r="7" spans="1:5" x14ac:dyDescent="0.3">
      <c r="A7" s="2" t="s">
        <v>2</v>
      </c>
      <c r="B7" s="1">
        <v>20</v>
      </c>
      <c r="C7" s="1">
        <v>175</v>
      </c>
      <c r="D7" s="2">
        <v>0.10000000000000009</v>
      </c>
      <c r="E7" s="2">
        <v>5.0000000000000044E-2</v>
      </c>
    </row>
    <row r="8" spans="1:5" x14ac:dyDescent="0.3">
      <c r="A8" s="2" t="s">
        <v>2</v>
      </c>
      <c r="B8" s="1">
        <v>40</v>
      </c>
      <c r="C8" s="1">
        <v>100</v>
      </c>
      <c r="D8" s="2">
        <v>0.10000000000000009</v>
      </c>
      <c r="E8" s="2">
        <v>4.9999999999999822E-2</v>
      </c>
    </row>
    <row r="9" spans="1:5" x14ac:dyDescent="0.3">
      <c r="A9" s="2" t="s">
        <v>69</v>
      </c>
      <c r="B9" s="1">
        <v>50</v>
      </c>
      <c r="C9" s="1">
        <v>90</v>
      </c>
      <c r="D9" s="2">
        <v>0.10000000000000009</v>
      </c>
      <c r="E9" s="2">
        <v>4.9999999999999822E-2</v>
      </c>
    </row>
    <row r="10" spans="1:5" x14ac:dyDescent="0.3">
      <c r="A10" s="2" t="s">
        <v>2</v>
      </c>
      <c r="B10" s="1">
        <v>60</v>
      </c>
      <c r="C10" s="1">
        <v>80</v>
      </c>
      <c r="D10" s="2">
        <v>4.9999999999999822E-2</v>
      </c>
      <c r="E10" s="2">
        <v>4.9999999999999822E-2</v>
      </c>
    </row>
    <row r="11" spans="1:5" x14ac:dyDescent="0.3">
      <c r="A11" s="2" t="s">
        <v>2</v>
      </c>
      <c r="B11" s="1">
        <v>75</v>
      </c>
      <c r="C11" s="1">
        <v>57</v>
      </c>
      <c r="D11" s="2">
        <v>4.9999999999999822E-2</v>
      </c>
      <c r="E11" s="2">
        <v>4.9999999999999822E-2</v>
      </c>
    </row>
    <row r="12" spans="1:5" x14ac:dyDescent="0.3">
      <c r="A12" s="2" t="s">
        <v>2</v>
      </c>
      <c r="B12" s="1">
        <v>100</v>
      </c>
      <c r="C12" s="1">
        <v>40</v>
      </c>
      <c r="D12" s="2">
        <v>9.9999999999999645E-2</v>
      </c>
      <c r="E12" s="2">
        <v>9.9999999999999645E-2</v>
      </c>
    </row>
    <row r="13" spans="1:5" x14ac:dyDescent="0.3">
      <c r="A13" s="2" t="s">
        <v>19</v>
      </c>
      <c r="B13" s="1">
        <v>40</v>
      </c>
      <c r="C13" s="1">
        <v>100</v>
      </c>
      <c r="D13" s="2">
        <v>5.0000000000000044E-2</v>
      </c>
      <c r="E13" s="2">
        <v>5.0000000000000044E-2</v>
      </c>
    </row>
    <row r="14" spans="1:5" x14ac:dyDescent="0.3">
      <c r="A14" s="2" t="s">
        <v>19</v>
      </c>
      <c r="B14" s="1">
        <v>60</v>
      </c>
      <c r="C14" s="1">
        <v>80</v>
      </c>
      <c r="D14" s="2">
        <v>4.9999999999999822E-2</v>
      </c>
      <c r="E14" s="2">
        <v>4.9999999999999822E-2</v>
      </c>
    </row>
    <row r="15" spans="1:5" x14ac:dyDescent="0.3">
      <c r="A15" s="2" t="s">
        <v>17</v>
      </c>
      <c r="B15" s="1">
        <v>75</v>
      </c>
      <c r="C15" s="1">
        <v>57</v>
      </c>
      <c r="D15" s="2">
        <v>4.9999999999999822E-2</v>
      </c>
      <c r="E15" s="2">
        <v>4.9999999999999822E-2</v>
      </c>
    </row>
    <row r="16" spans="1:5" x14ac:dyDescent="0.3">
      <c r="A16" s="2" t="s">
        <v>18</v>
      </c>
      <c r="B16" s="1">
        <v>60</v>
      </c>
      <c r="C16" s="1">
        <v>80</v>
      </c>
      <c r="D16" s="2">
        <v>4.9999999999999822E-2</v>
      </c>
      <c r="E16" s="2">
        <v>4.9999999999999822E-2</v>
      </c>
    </row>
    <row r="17" spans="1:5" x14ac:dyDescent="0.3">
      <c r="A17" s="2" t="s">
        <v>21</v>
      </c>
      <c r="B17" s="1">
        <v>75</v>
      </c>
      <c r="C17" s="1">
        <v>63</v>
      </c>
      <c r="D17" s="2">
        <v>5.0000000000000266E-2</v>
      </c>
      <c r="E17" s="2">
        <v>4.9999999999999822E-2</v>
      </c>
    </row>
    <row r="18" spans="1:5" x14ac:dyDescent="0.3">
      <c r="A18" s="2" t="s">
        <v>22</v>
      </c>
      <c r="B18" s="1">
        <v>60</v>
      </c>
      <c r="C18" s="1">
        <v>80</v>
      </c>
      <c r="D18" s="2">
        <v>4.9999999999999822E-2</v>
      </c>
      <c r="E18" s="2">
        <v>4.9999999999999822E-2</v>
      </c>
    </row>
    <row r="19" spans="1:5" x14ac:dyDescent="0.3">
      <c r="A19" s="2" t="s">
        <v>23</v>
      </c>
      <c r="B19" s="1">
        <v>60</v>
      </c>
      <c r="C19" s="1">
        <v>80</v>
      </c>
      <c r="D19" s="2">
        <v>4.9999999999999822E-2</v>
      </c>
      <c r="E19" s="2">
        <v>4.9999999999999822E-2</v>
      </c>
    </row>
    <row r="20" spans="1:5" x14ac:dyDescent="0.3">
      <c r="A20" s="2" t="s">
        <v>16</v>
      </c>
      <c r="B20" s="1">
        <v>60</v>
      </c>
      <c r="C20" s="1">
        <v>70</v>
      </c>
      <c r="D20" s="2">
        <v>4.9999999999999822E-2</v>
      </c>
      <c r="E20" s="2">
        <v>4.9999999999999822E-2</v>
      </c>
    </row>
    <row r="21" spans="1:5" x14ac:dyDescent="0.3">
      <c r="A21" s="2" t="s">
        <v>71</v>
      </c>
      <c r="B21" s="1">
        <v>100</v>
      </c>
      <c r="C21" s="1">
        <v>40</v>
      </c>
      <c r="D21" s="2">
        <v>0.25</v>
      </c>
      <c r="E21" s="2">
        <v>0.15000000000000036</v>
      </c>
    </row>
    <row r="22" spans="1:5" x14ac:dyDescent="0.3">
      <c r="A22" s="2" t="s">
        <v>4</v>
      </c>
      <c r="B22" s="1">
        <v>75</v>
      </c>
      <c r="C22" s="1">
        <v>48</v>
      </c>
      <c r="D22" s="2">
        <v>9.9999999999999645E-2</v>
      </c>
      <c r="E22" s="2">
        <v>4.9999999999999822E-2</v>
      </c>
    </row>
    <row r="23" spans="1:5" x14ac:dyDescent="0.3">
      <c r="A23" s="2" t="s">
        <v>4</v>
      </c>
      <c r="B23" s="1">
        <v>60</v>
      </c>
      <c r="C23" s="1">
        <v>70</v>
      </c>
      <c r="D23" s="2">
        <v>0.10000000000000009</v>
      </c>
      <c r="E23" s="2">
        <v>4.9999999999999822E-2</v>
      </c>
    </row>
    <row r="24" spans="1:5" x14ac:dyDescent="0.3">
      <c r="A24" s="2" t="s">
        <v>5</v>
      </c>
      <c r="B24" s="1">
        <v>60</v>
      </c>
      <c r="C24" s="1">
        <v>80</v>
      </c>
      <c r="D24" s="2">
        <v>0.10000000000000009</v>
      </c>
      <c r="E24" s="2">
        <v>4.9999999999999822E-2</v>
      </c>
    </row>
    <row r="25" spans="1:5" x14ac:dyDescent="0.3">
      <c r="A25" s="2" t="s">
        <v>6</v>
      </c>
      <c r="B25" s="1">
        <v>60</v>
      </c>
      <c r="C25" s="1">
        <v>70</v>
      </c>
      <c r="D25" s="2">
        <v>0.10000000000000009</v>
      </c>
      <c r="E25" s="2">
        <v>4.9999999999999822E-2</v>
      </c>
    </row>
    <row r="26" spans="1:5" x14ac:dyDescent="0.3">
      <c r="A26" s="2" t="s">
        <v>7</v>
      </c>
      <c r="B26" s="1">
        <v>36</v>
      </c>
      <c r="C26" s="1">
        <v>100</v>
      </c>
      <c r="D26" s="2">
        <v>5.0000000000000044E-2</v>
      </c>
      <c r="E26" s="2">
        <v>5.0000000000000044E-2</v>
      </c>
    </row>
    <row r="27" spans="1:5" x14ac:dyDescent="0.3">
      <c r="A27" s="2" t="s">
        <v>8</v>
      </c>
      <c r="B27" s="1">
        <v>25</v>
      </c>
      <c r="C27" s="1">
        <v>70</v>
      </c>
      <c r="D27" s="2">
        <v>4.9999999999999822E-2</v>
      </c>
      <c r="E27" s="2">
        <v>4.9999999999999822E-2</v>
      </c>
    </row>
    <row r="28" spans="1:5" x14ac:dyDescent="0.3">
      <c r="A28" s="2" t="s">
        <v>9</v>
      </c>
      <c r="B28" s="1">
        <v>40</v>
      </c>
      <c r="C28" s="1">
        <v>70</v>
      </c>
      <c r="D28" s="2">
        <v>4.9999999999999822E-2</v>
      </c>
      <c r="E28" s="2">
        <v>4.9999999999999822E-2</v>
      </c>
    </row>
    <row r="29" spans="1:5" x14ac:dyDescent="0.3">
      <c r="A29" s="2" t="s">
        <v>65</v>
      </c>
      <c r="B29" s="1">
        <v>20</v>
      </c>
      <c r="C29" s="1">
        <v>70</v>
      </c>
      <c r="D29" s="2">
        <v>0.10000000000000009</v>
      </c>
      <c r="E29" s="2">
        <v>4.9999999999999822E-2</v>
      </c>
    </row>
    <row r="30" spans="1:5" x14ac:dyDescent="0.3">
      <c r="A30" s="2" t="s">
        <v>70</v>
      </c>
      <c r="B30" s="1">
        <v>25</v>
      </c>
      <c r="C30" s="1">
        <v>70</v>
      </c>
      <c r="D30" s="2">
        <v>4.9999999999999822E-2</v>
      </c>
      <c r="E30" s="2">
        <v>4.9999999999999822E-2</v>
      </c>
    </row>
    <row r="31" spans="1:5" x14ac:dyDescent="0.3">
      <c r="A31" s="4" t="s">
        <v>47</v>
      </c>
      <c r="B31" s="5"/>
      <c r="C31" s="5"/>
      <c r="D31" s="4"/>
      <c r="E31" s="4"/>
    </row>
    <row r="32" spans="1:5" x14ac:dyDescent="0.3">
      <c r="A32" s="2" t="s">
        <v>38</v>
      </c>
      <c r="B32" s="1">
        <v>50</v>
      </c>
      <c r="C32" s="1">
        <v>70</v>
      </c>
      <c r="D32" s="2">
        <v>4.9999999999999822E-2</v>
      </c>
      <c r="E32" s="2">
        <v>4.9999999999999822E-2</v>
      </c>
    </row>
    <row r="33" spans="1:5" x14ac:dyDescent="0.3">
      <c r="A33" s="2" t="s">
        <v>39</v>
      </c>
      <c r="B33" s="1">
        <v>50</v>
      </c>
      <c r="C33" s="1">
        <v>70</v>
      </c>
      <c r="D33" s="2">
        <v>4.9999999999999822E-2</v>
      </c>
      <c r="E33" s="2">
        <v>4.9999999999999822E-2</v>
      </c>
    </row>
    <row r="34" spans="1:5" x14ac:dyDescent="0.3">
      <c r="A34" s="2" t="s">
        <v>40</v>
      </c>
      <c r="B34" s="1">
        <v>50</v>
      </c>
      <c r="C34" s="1">
        <v>70</v>
      </c>
      <c r="D34" s="2">
        <v>4.9999999999999822E-2</v>
      </c>
      <c r="E34" s="2">
        <v>4.9999999999999822E-2</v>
      </c>
    </row>
    <row r="35" spans="1:5" x14ac:dyDescent="0.3">
      <c r="A35" s="2" t="s">
        <v>66</v>
      </c>
      <c r="B35" s="1">
        <v>50</v>
      </c>
      <c r="C35" s="1">
        <v>70</v>
      </c>
      <c r="D35" s="2">
        <v>4.9999999999999822E-2</v>
      </c>
      <c r="E35" s="2">
        <v>4.9999999999999822E-2</v>
      </c>
    </row>
    <row r="36" spans="1:5" x14ac:dyDescent="0.3">
      <c r="A36" s="2" t="s">
        <v>67</v>
      </c>
      <c r="B36" s="1">
        <v>50</v>
      </c>
      <c r="C36" s="1">
        <v>70</v>
      </c>
      <c r="D36" s="2">
        <v>4.9999999999999822E-2</v>
      </c>
      <c r="E36" s="2">
        <v>4.9999999999999822E-2</v>
      </c>
    </row>
    <row r="37" spans="1:5" x14ac:dyDescent="0.3">
      <c r="A37" s="2" t="s">
        <v>68</v>
      </c>
      <c r="B37" s="1">
        <v>56</v>
      </c>
      <c r="C37" s="1">
        <v>70</v>
      </c>
      <c r="D37" s="2">
        <v>0.10000000000000009</v>
      </c>
      <c r="E37" s="2">
        <v>4.9999999999999822E-2</v>
      </c>
    </row>
    <row r="38" spans="1:5" x14ac:dyDescent="0.3">
      <c r="A38" s="4" t="s">
        <v>46</v>
      </c>
      <c r="B38" s="5"/>
      <c r="C38" s="5"/>
      <c r="D38" s="4"/>
      <c r="E38" s="4"/>
    </row>
    <row r="39" spans="1:5" x14ac:dyDescent="0.3">
      <c r="A39" s="2" t="s">
        <v>24</v>
      </c>
      <c r="B39" s="1">
        <v>50</v>
      </c>
      <c r="C39" s="1">
        <v>80</v>
      </c>
      <c r="D39" s="2">
        <v>0.10000000000000009</v>
      </c>
      <c r="E39" s="2">
        <v>4.9999999999999822E-2</v>
      </c>
    </row>
    <row r="40" spans="1:5" x14ac:dyDescent="0.3">
      <c r="A40" s="2" t="s">
        <v>25</v>
      </c>
      <c r="B40" s="1">
        <v>56</v>
      </c>
      <c r="C40" s="1">
        <v>80</v>
      </c>
      <c r="D40" s="2">
        <v>0.10000000000000009</v>
      </c>
      <c r="E40" s="2">
        <v>4.9999999999999822E-2</v>
      </c>
    </row>
    <row r="41" spans="1:5" x14ac:dyDescent="0.3">
      <c r="A41" s="4" t="s">
        <v>45</v>
      </c>
      <c r="B41" s="5"/>
      <c r="C41" s="5"/>
      <c r="D41" s="4"/>
      <c r="E41" s="4"/>
    </row>
    <row r="42" spans="1:5" x14ac:dyDescent="0.3">
      <c r="A42" s="2" t="s">
        <v>2</v>
      </c>
      <c r="B42" s="1">
        <v>60</v>
      </c>
      <c r="C42" s="1">
        <v>80</v>
      </c>
      <c r="D42" s="2">
        <v>4.9999999999999822E-2</v>
      </c>
      <c r="E42" s="2">
        <v>4.9999999999999822E-2</v>
      </c>
    </row>
    <row r="43" spans="1:5" x14ac:dyDescent="0.3">
      <c r="A43" s="2" t="s">
        <v>3</v>
      </c>
      <c r="B43" s="1">
        <v>60</v>
      </c>
      <c r="C43" s="1">
        <v>70</v>
      </c>
      <c r="D43" s="2">
        <v>4.9999999999999822E-2</v>
      </c>
      <c r="E43" s="2">
        <v>4.9999999999999822E-2</v>
      </c>
    </row>
    <row r="44" spans="1:5" x14ac:dyDescent="0.3">
      <c r="A44" s="2" t="s">
        <v>10</v>
      </c>
      <c r="B44" s="1">
        <v>25</v>
      </c>
      <c r="C44" s="1">
        <v>70</v>
      </c>
      <c r="D44" s="2">
        <v>0.10000000000000009</v>
      </c>
      <c r="E44" s="2">
        <v>4.9999999999999822E-2</v>
      </c>
    </row>
    <row r="45" spans="1:5" x14ac:dyDescent="0.3">
      <c r="A45" s="2" t="s">
        <v>11</v>
      </c>
      <c r="B45" s="1">
        <v>25</v>
      </c>
      <c r="C45" s="1">
        <v>70</v>
      </c>
      <c r="D45" s="2">
        <v>0.10000000000000009</v>
      </c>
      <c r="E45" s="2">
        <v>4.9999999999999822E-2</v>
      </c>
    </row>
    <row r="46" spans="1:5" x14ac:dyDescent="0.3">
      <c r="A46" s="2" t="s">
        <v>12</v>
      </c>
      <c r="B46" s="1">
        <v>25</v>
      </c>
      <c r="C46" s="1">
        <v>70</v>
      </c>
      <c r="D46" s="2">
        <v>0.10000000000000009</v>
      </c>
      <c r="E46" s="2">
        <v>4.9999999999999822E-2</v>
      </c>
    </row>
    <row r="47" spans="1:5" x14ac:dyDescent="0.3">
      <c r="A47" s="2" t="s">
        <v>13</v>
      </c>
      <c r="B47" s="1">
        <v>25</v>
      </c>
      <c r="C47" s="1">
        <v>70</v>
      </c>
      <c r="D47" s="2">
        <v>0.10000000000000009</v>
      </c>
      <c r="E47" s="2">
        <v>4.9999999999999822E-2</v>
      </c>
    </row>
    <row r="48" spans="1:5" x14ac:dyDescent="0.3">
      <c r="A48" s="2" t="s">
        <v>8</v>
      </c>
      <c r="B48" s="1">
        <v>25</v>
      </c>
      <c r="C48" s="1">
        <v>70</v>
      </c>
      <c r="D48" s="2">
        <v>4.9999999999999822E-2</v>
      </c>
      <c r="E48" s="2">
        <v>4.9999999999999822E-2</v>
      </c>
    </row>
  </sheetData>
  <mergeCells count="5"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workbookViewId="0">
      <selection activeCell="N26" sqref="N26"/>
    </sheetView>
  </sheetViews>
  <sheetFormatPr defaultColWidth="9.109375" defaultRowHeight="13.8" x14ac:dyDescent="0.3"/>
  <cols>
    <col min="1" max="1" width="35.5546875" style="2" bestFit="1" customWidth="1"/>
    <col min="2" max="2" width="6.44140625" style="1" bestFit="1" customWidth="1"/>
    <col min="3" max="3" width="7.44140625" style="2" bestFit="1" customWidth="1"/>
    <col min="4" max="4" width="7.6640625" style="2" bestFit="1" customWidth="1"/>
    <col min="5" max="5" width="7.44140625" style="2" bestFit="1" customWidth="1"/>
    <col min="6" max="6" width="7.6640625" style="2" bestFit="1" customWidth="1"/>
    <col min="7" max="7" width="7.44140625" style="2" bestFit="1" customWidth="1"/>
    <col min="8" max="8" width="7.6640625" style="2" bestFit="1" customWidth="1"/>
    <col min="9" max="9" width="7.44140625" style="2" bestFit="1" customWidth="1"/>
    <col min="10" max="16384" width="9.109375" style="2"/>
  </cols>
  <sheetData>
    <row r="1" spans="1:14" ht="15" customHeight="1" x14ac:dyDescent="0.3">
      <c r="A1" s="7" t="s">
        <v>60</v>
      </c>
      <c r="B1" s="8"/>
      <c r="C1" s="7">
        <v>4850</v>
      </c>
      <c r="D1" s="7"/>
      <c r="E1" s="7">
        <v>4850</v>
      </c>
      <c r="F1" s="7"/>
      <c r="G1" s="7">
        <v>4850</v>
      </c>
      <c r="H1" s="7"/>
      <c r="I1" s="7">
        <v>4850</v>
      </c>
      <c r="K1" s="67" t="s">
        <v>58</v>
      </c>
      <c r="L1" s="67"/>
      <c r="M1" s="67"/>
      <c r="N1" s="67"/>
    </row>
    <row r="2" spans="1:14" x14ac:dyDescent="0.3">
      <c r="A2" s="7" t="s">
        <v>61</v>
      </c>
      <c r="B2" s="8"/>
      <c r="C2" s="7">
        <v>600</v>
      </c>
      <c r="D2" s="7"/>
      <c r="E2" s="7">
        <v>800</v>
      </c>
      <c r="F2" s="7"/>
      <c r="G2" s="7">
        <v>1000</v>
      </c>
      <c r="H2" s="7"/>
      <c r="I2" s="7">
        <v>1300</v>
      </c>
      <c r="K2" s="67"/>
      <c r="L2" s="67"/>
      <c r="M2" s="67"/>
      <c r="N2" s="67"/>
    </row>
    <row r="3" spans="1:14" x14ac:dyDescent="0.3">
      <c r="A3" s="7" t="s">
        <v>62</v>
      </c>
      <c r="B3" s="8"/>
      <c r="C3" s="7">
        <v>0</v>
      </c>
      <c r="D3" s="7"/>
      <c r="E3" s="7">
        <f>SUM(E2-C2)</f>
        <v>200</v>
      </c>
      <c r="F3" s="7"/>
      <c r="G3" s="7">
        <f>SUM(G2-C2)</f>
        <v>400</v>
      </c>
      <c r="H3" s="7"/>
      <c r="I3" s="7">
        <f>SUM(I2-C2)</f>
        <v>700</v>
      </c>
      <c r="K3" s="67"/>
      <c r="L3" s="67"/>
      <c r="M3" s="67"/>
      <c r="N3" s="67"/>
    </row>
    <row r="4" spans="1:14" x14ac:dyDescent="0.3">
      <c r="A4" s="7" t="s">
        <v>63</v>
      </c>
      <c r="B4" s="8"/>
      <c r="C4" s="9" t="s">
        <v>59</v>
      </c>
      <c r="D4" s="9"/>
      <c r="E4" s="9">
        <f>SUM(E3/E1)</f>
        <v>4.1237113402061855E-2</v>
      </c>
      <c r="F4" s="9"/>
      <c r="G4" s="9">
        <f t="shared" ref="G4:I4" si="0">SUM(G3/G1)</f>
        <v>8.247422680412371E-2</v>
      </c>
      <c r="H4" s="9"/>
      <c r="I4" s="9">
        <f t="shared" si="0"/>
        <v>0.14432989690721648</v>
      </c>
      <c r="K4" s="67"/>
      <c r="L4" s="67"/>
      <c r="M4" s="67"/>
      <c r="N4" s="67"/>
    </row>
    <row r="6" spans="1:14" x14ac:dyDescent="0.3">
      <c r="C6" s="2" t="s">
        <v>26</v>
      </c>
      <c r="D6" s="2" t="s">
        <v>55</v>
      </c>
      <c r="E6" s="2" t="s">
        <v>29</v>
      </c>
      <c r="F6" s="2" t="s">
        <v>56</v>
      </c>
      <c r="G6" s="2" t="s">
        <v>32</v>
      </c>
      <c r="H6" s="2" t="s">
        <v>57</v>
      </c>
      <c r="I6" s="2" t="s">
        <v>35</v>
      </c>
      <c r="K6" s="2" t="s">
        <v>26</v>
      </c>
      <c r="L6" s="2" t="s">
        <v>29</v>
      </c>
      <c r="M6" s="2" t="s">
        <v>32</v>
      </c>
      <c r="N6" s="2" t="s">
        <v>35</v>
      </c>
    </row>
    <row r="7" spans="1:14" x14ac:dyDescent="0.3">
      <c r="C7" s="1">
        <v>2022</v>
      </c>
      <c r="D7" s="1" t="s">
        <v>49</v>
      </c>
      <c r="E7" s="1">
        <v>2022</v>
      </c>
      <c r="F7" s="1" t="s">
        <v>49</v>
      </c>
      <c r="G7" s="1">
        <v>2022</v>
      </c>
      <c r="H7" s="1" t="s">
        <v>49</v>
      </c>
      <c r="I7" s="1">
        <v>2022</v>
      </c>
      <c r="K7" s="2">
        <v>2022</v>
      </c>
      <c r="L7" s="2">
        <v>2022</v>
      </c>
      <c r="M7" s="2">
        <v>2022</v>
      </c>
      <c r="N7" s="2">
        <v>2022</v>
      </c>
    </row>
    <row r="8" spans="1:14" x14ac:dyDescent="0.3">
      <c r="A8" s="4" t="s">
        <v>48</v>
      </c>
      <c r="B8" s="5"/>
      <c r="C8" s="4"/>
      <c r="D8" s="4"/>
      <c r="E8" s="4"/>
      <c r="F8" s="4"/>
      <c r="G8" s="4"/>
      <c r="H8" s="4"/>
      <c r="I8" s="4"/>
      <c r="K8" s="4"/>
      <c r="L8" s="4"/>
      <c r="M8" s="4"/>
      <c r="N8" s="4"/>
    </row>
    <row r="9" spans="1:14" x14ac:dyDescent="0.3">
      <c r="A9" s="2" t="s">
        <v>2</v>
      </c>
      <c r="B9" s="1">
        <v>10</v>
      </c>
      <c r="C9" s="2">
        <v>1.2584000000000002</v>
      </c>
      <c r="D9" s="3">
        <v>0.04</v>
      </c>
      <c r="E9" s="2">
        <f>SUM(C9/100)*4+C9</f>
        <v>1.3087360000000001</v>
      </c>
      <c r="F9" s="3">
        <v>0.08</v>
      </c>
      <c r="G9" s="2">
        <f t="shared" ref="G9:G46" si="1">SUM(C9/100)*8+C9</f>
        <v>1.3590720000000003</v>
      </c>
      <c r="H9" s="3">
        <v>0.14000000000000001</v>
      </c>
      <c r="I9" s="2">
        <f>SUM(C9/100)*14+C9</f>
        <v>1.4345760000000003</v>
      </c>
      <c r="K9" s="2">
        <v>1.2584000000000002</v>
      </c>
      <c r="L9" s="2">
        <v>1.3794000000000002</v>
      </c>
      <c r="M9" s="2">
        <v>1.4399000000000002</v>
      </c>
      <c r="N9" s="2">
        <v>1.8633999999999999</v>
      </c>
    </row>
    <row r="10" spans="1:14" x14ac:dyDescent="0.3">
      <c r="A10" s="2" t="s">
        <v>2</v>
      </c>
      <c r="B10" s="1">
        <v>20</v>
      </c>
      <c r="C10" s="2">
        <v>1.4399</v>
      </c>
      <c r="D10" s="3">
        <v>0.04</v>
      </c>
      <c r="E10" s="2">
        <f t="shared" ref="E10:E46" si="2">SUM(C10/100)*4+C10</f>
        <v>1.4974959999999999</v>
      </c>
      <c r="F10" s="3">
        <v>0.08</v>
      </c>
      <c r="G10" s="2">
        <f t="shared" si="1"/>
        <v>1.5550919999999999</v>
      </c>
      <c r="H10" s="3">
        <v>0.14000000000000001</v>
      </c>
      <c r="I10" s="2">
        <f t="shared" ref="I10:I46" si="3">SUM(C10/100)*14+C10</f>
        <v>1.641486</v>
      </c>
      <c r="K10" s="2">
        <v>1.4399</v>
      </c>
      <c r="L10" s="2">
        <v>1.5609000000000002</v>
      </c>
      <c r="M10" s="2">
        <v>1.6214000000000002</v>
      </c>
      <c r="N10" s="2">
        <v>2.0449000000000002</v>
      </c>
    </row>
    <row r="11" spans="1:14" x14ac:dyDescent="0.3">
      <c r="A11" s="2" t="s">
        <v>2</v>
      </c>
      <c r="B11" s="1">
        <v>40</v>
      </c>
      <c r="C11" s="2">
        <v>2.0449000000000002</v>
      </c>
      <c r="D11" s="3">
        <v>0.04</v>
      </c>
      <c r="E11" s="2">
        <f t="shared" si="2"/>
        <v>2.1266960000000004</v>
      </c>
      <c r="F11" s="3">
        <v>0.08</v>
      </c>
      <c r="G11" s="2">
        <f t="shared" si="1"/>
        <v>2.2084920000000001</v>
      </c>
      <c r="H11" s="3">
        <v>0.14000000000000001</v>
      </c>
      <c r="I11" s="2">
        <f t="shared" si="3"/>
        <v>2.3311860000000002</v>
      </c>
      <c r="K11" s="2">
        <v>2.0449000000000002</v>
      </c>
      <c r="L11" s="2">
        <v>2.1659000000000002</v>
      </c>
      <c r="M11" s="2">
        <v>2.2263999999999999</v>
      </c>
      <c r="N11" s="2">
        <v>2.6498999999999997</v>
      </c>
    </row>
    <row r="12" spans="1:14" x14ac:dyDescent="0.3">
      <c r="A12" s="2" t="s">
        <v>20</v>
      </c>
      <c r="B12" s="1">
        <v>50</v>
      </c>
      <c r="C12" s="2">
        <v>2.1252</v>
      </c>
      <c r="D12" s="3">
        <v>0.04</v>
      </c>
      <c r="E12" s="2">
        <f t="shared" si="2"/>
        <v>2.2102080000000002</v>
      </c>
      <c r="F12" s="3">
        <v>0.08</v>
      </c>
      <c r="G12" s="2">
        <f t="shared" si="1"/>
        <v>2.2952159999999999</v>
      </c>
      <c r="H12" s="3">
        <v>0.14000000000000001</v>
      </c>
      <c r="I12" s="2">
        <f t="shared" si="3"/>
        <v>2.4227280000000002</v>
      </c>
      <c r="K12" s="2">
        <v>2.1252</v>
      </c>
      <c r="L12" s="2">
        <v>2.2407000000000004</v>
      </c>
      <c r="M12" s="2">
        <v>2.2984499999999999</v>
      </c>
      <c r="N12" s="2">
        <v>2.7027000000000001</v>
      </c>
    </row>
    <row r="13" spans="1:14" x14ac:dyDescent="0.3">
      <c r="A13" s="2" t="s">
        <v>2</v>
      </c>
      <c r="B13" s="1">
        <v>60</v>
      </c>
      <c r="C13" s="2">
        <v>2.5294499999999998</v>
      </c>
      <c r="D13" s="3">
        <v>0.04</v>
      </c>
      <c r="E13" s="2">
        <f t="shared" si="2"/>
        <v>2.6306279999999997</v>
      </c>
      <c r="F13" s="3">
        <v>0.08</v>
      </c>
      <c r="G13" s="2">
        <f t="shared" si="1"/>
        <v>2.7318059999999997</v>
      </c>
      <c r="H13" s="3">
        <v>0.14000000000000001</v>
      </c>
      <c r="I13" s="2">
        <f t="shared" si="3"/>
        <v>2.8835729999999997</v>
      </c>
      <c r="K13" s="2">
        <v>2.5294499999999998</v>
      </c>
      <c r="L13" s="2">
        <v>2.6449500000000001</v>
      </c>
      <c r="M13" s="2">
        <v>2.7026999999999997</v>
      </c>
      <c r="N13" s="2">
        <v>3.1069499999999999</v>
      </c>
    </row>
    <row r="14" spans="1:14" x14ac:dyDescent="0.3">
      <c r="A14" s="2" t="s">
        <v>2</v>
      </c>
      <c r="B14" s="1">
        <v>75</v>
      </c>
      <c r="C14" s="2">
        <v>3.3154000000000003</v>
      </c>
      <c r="D14" s="3">
        <v>0.04</v>
      </c>
      <c r="E14" s="2">
        <f t="shared" si="2"/>
        <v>3.4480160000000004</v>
      </c>
      <c r="F14" s="3">
        <v>0.08</v>
      </c>
      <c r="G14" s="2">
        <f t="shared" si="1"/>
        <v>3.5806320000000005</v>
      </c>
      <c r="H14" s="3">
        <v>0.14000000000000001</v>
      </c>
      <c r="I14" s="2">
        <f t="shared" si="3"/>
        <v>3.7795560000000004</v>
      </c>
      <c r="K14" s="2">
        <v>3.3154000000000003</v>
      </c>
      <c r="L14" s="2">
        <v>3.4364000000000008</v>
      </c>
      <c r="M14" s="2">
        <v>3.4969000000000001</v>
      </c>
      <c r="N14" s="2">
        <v>3.9203999999999999</v>
      </c>
    </row>
    <row r="15" spans="1:14" x14ac:dyDescent="0.3">
      <c r="A15" s="2" t="s">
        <v>2</v>
      </c>
      <c r="B15" s="1">
        <v>100</v>
      </c>
      <c r="C15" s="2">
        <v>4.4649000000000001</v>
      </c>
      <c r="D15" s="3">
        <v>0.04</v>
      </c>
      <c r="E15" s="2">
        <f t="shared" si="2"/>
        <v>4.6434959999999998</v>
      </c>
      <c r="F15" s="3">
        <v>0.08</v>
      </c>
      <c r="G15" s="2">
        <f t="shared" si="1"/>
        <v>4.8220920000000005</v>
      </c>
      <c r="H15" s="3">
        <v>0.14000000000000001</v>
      </c>
      <c r="I15" s="2">
        <f t="shared" si="3"/>
        <v>5.0899859999999997</v>
      </c>
      <c r="K15" s="2">
        <v>4.4649000000000001</v>
      </c>
      <c r="L15" s="2">
        <v>4.6463999999999999</v>
      </c>
      <c r="M15" s="2">
        <v>4.7673999999999994</v>
      </c>
      <c r="N15" s="2">
        <v>5.3118999999999996</v>
      </c>
    </row>
    <row r="16" spans="1:14" x14ac:dyDescent="0.3">
      <c r="A16" s="2" t="s">
        <v>19</v>
      </c>
      <c r="B16" s="1">
        <v>60</v>
      </c>
      <c r="C16" s="2">
        <v>2.8919000000000001</v>
      </c>
      <c r="D16" s="3">
        <v>0.04</v>
      </c>
      <c r="E16" s="2">
        <f t="shared" si="2"/>
        <v>3.0075760000000002</v>
      </c>
      <c r="F16" s="3">
        <v>0.08</v>
      </c>
      <c r="G16" s="2">
        <f t="shared" si="1"/>
        <v>3.1232519999999999</v>
      </c>
      <c r="H16" s="3">
        <v>0.14000000000000001</v>
      </c>
      <c r="I16" s="2">
        <f t="shared" si="3"/>
        <v>3.2967660000000003</v>
      </c>
      <c r="K16" s="2">
        <v>2.8919000000000001</v>
      </c>
      <c r="L16" s="2">
        <v>3.0129000000000001</v>
      </c>
      <c r="M16" s="2">
        <v>3.1395000000000004</v>
      </c>
      <c r="N16" s="2">
        <v>3.2802000000000007</v>
      </c>
    </row>
    <row r="17" spans="1:14" x14ac:dyDescent="0.3">
      <c r="A17" s="2" t="s">
        <v>17</v>
      </c>
      <c r="B17" s="1">
        <v>75</v>
      </c>
      <c r="C17" s="2">
        <v>4.0414000000000003</v>
      </c>
      <c r="D17" s="3">
        <v>0.04</v>
      </c>
      <c r="E17" s="2">
        <f t="shared" si="2"/>
        <v>4.2030560000000001</v>
      </c>
      <c r="F17" s="3">
        <v>0.08</v>
      </c>
      <c r="G17" s="2">
        <f t="shared" si="1"/>
        <v>4.3647120000000008</v>
      </c>
      <c r="H17" s="3">
        <v>0.14000000000000001</v>
      </c>
      <c r="I17" s="2">
        <f t="shared" si="3"/>
        <v>4.6071960000000001</v>
      </c>
      <c r="K17" s="2">
        <v>4.0414000000000003</v>
      </c>
      <c r="L17" s="2">
        <v>4.1623999999999999</v>
      </c>
      <c r="M17" s="2">
        <v>4.2228999999999992</v>
      </c>
      <c r="N17" s="2">
        <v>4.6463999999999999</v>
      </c>
    </row>
    <row r="18" spans="1:14" x14ac:dyDescent="0.3">
      <c r="A18" s="2" t="s">
        <v>18</v>
      </c>
      <c r="B18" s="1">
        <v>60</v>
      </c>
      <c r="C18" s="2">
        <v>2.8919000000000001</v>
      </c>
      <c r="D18" s="3">
        <v>0.04</v>
      </c>
      <c r="E18" s="2">
        <f t="shared" si="2"/>
        <v>3.0075760000000002</v>
      </c>
      <c r="F18" s="3">
        <v>0.08</v>
      </c>
      <c r="G18" s="2">
        <f t="shared" si="1"/>
        <v>3.1232519999999999</v>
      </c>
      <c r="H18" s="3">
        <v>0.14000000000000001</v>
      </c>
      <c r="I18" s="2">
        <f t="shared" si="3"/>
        <v>3.2967660000000003</v>
      </c>
      <c r="K18" s="2">
        <v>2.8919000000000001</v>
      </c>
      <c r="L18" s="2">
        <v>3.0129000000000001</v>
      </c>
      <c r="M18" s="2">
        <v>3.1395000000000004</v>
      </c>
      <c r="N18" s="2">
        <v>3.2802000000000007</v>
      </c>
    </row>
    <row r="19" spans="1:14" x14ac:dyDescent="0.3">
      <c r="A19" s="2" t="s">
        <v>21</v>
      </c>
      <c r="B19" s="1">
        <v>75</v>
      </c>
      <c r="C19" s="2">
        <v>3.9808999999999997</v>
      </c>
      <c r="D19" s="3">
        <v>0.04</v>
      </c>
      <c r="E19" s="2">
        <f t="shared" si="2"/>
        <v>4.140136</v>
      </c>
      <c r="F19" s="3">
        <v>0.08</v>
      </c>
      <c r="G19" s="2">
        <f t="shared" si="1"/>
        <v>4.299372</v>
      </c>
      <c r="H19" s="3">
        <v>0.14000000000000001</v>
      </c>
      <c r="I19" s="2">
        <f t="shared" si="3"/>
        <v>4.5382259999999999</v>
      </c>
      <c r="K19" s="2">
        <v>3.9808999999999997</v>
      </c>
      <c r="L19" s="2">
        <v>4.1019000000000005</v>
      </c>
      <c r="M19" s="2">
        <v>4.1623999999999999</v>
      </c>
      <c r="N19" s="2">
        <v>4.5859000000000005</v>
      </c>
    </row>
    <row r="20" spans="1:14" x14ac:dyDescent="0.3">
      <c r="A20" s="2" t="s">
        <v>22</v>
      </c>
      <c r="B20" s="1">
        <v>60</v>
      </c>
      <c r="C20" s="2">
        <v>2.8919000000000001</v>
      </c>
      <c r="D20" s="3">
        <v>0.04</v>
      </c>
      <c r="E20" s="2">
        <f t="shared" si="2"/>
        <v>3.0075760000000002</v>
      </c>
      <c r="F20" s="3">
        <v>0.08</v>
      </c>
      <c r="G20" s="2">
        <f t="shared" si="1"/>
        <v>3.1232519999999999</v>
      </c>
      <c r="H20" s="3">
        <v>0.14000000000000001</v>
      </c>
      <c r="I20" s="2">
        <f t="shared" si="3"/>
        <v>3.2967660000000003</v>
      </c>
      <c r="K20" s="2">
        <v>2.8919000000000001</v>
      </c>
      <c r="L20" s="2">
        <v>3.0129000000000001</v>
      </c>
      <c r="M20" s="2">
        <v>3.1395000000000004</v>
      </c>
      <c r="N20" s="2">
        <v>3.2802000000000007</v>
      </c>
    </row>
    <row r="21" spans="1:14" x14ac:dyDescent="0.3">
      <c r="A21" s="2" t="s">
        <v>23</v>
      </c>
      <c r="B21" s="1">
        <v>60</v>
      </c>
      <c r="C21" s="2">
        <v>2.8919000000000001</v>
      </c>
      <c r="D21" s="3">
        <v>0.04</v>
      </c>
      <c r="E21" s="2">
        <f t="shared" si="2"/>
        <v>3.0075760000000002</v>
      </c>
      <c r="F21" s="3">
        <v>0.08</v>
      </c>
      <c r="G21" s="2">
        <f t="shared" si="1"/>
        <v>3.1232519999999999</v>
      </c>
      <c r="H21" s="3">
        <v>0.14000000000000001</v>
      </c>
      <c r="I21" s="2">
        <f t="shared" si="3"/>
        <v>3.2967660000000003</v>
      </c>
      <c r="K21" s="2">
        <v>2.8919000000000001</v>
      </c>
      <c r="L21" s="2">
        <v>3.0129000000000001</v>
      </c>
      <c r="M21" s="2">
        <v>3.1395000000000004</v>
      </c>
      <c r="N21" s="2">
        <v>3.2802000000000007</v>
      </c>
    </row>
    <row r="22" spans="1:14" x14ac:dyDescent="0.3">
      <c r="A22" s="2" t="s">
        <v>16</v>
      </c>
      <c r="B22" s="1">
        <v>60</v>
      </c>
      <c r="C22" s="2">
        <v>2.7604500000000001</v>
      </c>
      <c r="D22" s="3">
        <v>0.04</v>
      </c>
      <c r="E22" s="2">
        <f t="shared" si="2"/>
        <v>2.8708680000000002</v>
      </c>
      <c r="F22" s="3">
        <v>0.08</v>
      </c>
      <c r="G22" s="2">
        <f t="shared" si="1"/>
        <v>2.9812859999999999</v>
      </c>
      <c r="H22" s="3">
        <v>0.14000000000000001</v>
      </c>
      <c r="I22" s="2">
        <f t="shared" si="3"/>
        <v>3.1469130000000001</v>
      </c>
      <c r="K22" s="2">
        <v>2.7604500000000001</v>
      </c>
      <c r="L22" s="2">
        <v>2.8759500000000005</v>
      </c>
      <c r="M22" s="2">
        <v>3.1395000000000004</v>
      </c>
      <c r="N22" s="2">
        <v>3.2802000000000007</v>
      </c>
    </row>
    <row r="23" spans="1:14" x14ac:dyDescent="0.3">
      <c r="A23" s="2" t="s">
        <v>15</v>
      </c>
      <c r="B23" s="1">
        <v>100</v>
      </c>
      <c r="C23" s="2">
        <v>4.8279000000000005</v>
      </c>
      <c r="D23" s="3">
        <v>0.04</v>
      </c>
      <c r="E23" s="2">
        <f t="shared" si="2"/>
        <v>5.0210160000000004</v>
      </c>
      <c r="F23" s="3">
        <v>0.08</v>
      </c>
      <c r="G23" s="2">
        <f t="shared" si="1"/>
        <v>5.2141320000000002</v>
      </c>
      <c r="H23" s="3">
        <v>0.14000000000000001</v>
      </c>
      <c r="I23" s="2">
        <f t="shared" si="3"/>
        <v>5.5038060000000009</v>
      </c>
      <c r="K23" s="2">
        <v>4.8279000000000005</v>
      </c>
      <c r="L23" s="2">
        <v>5.1304000000000007</v>
      </c>
      <c r="M23" s="2">
        <v>5.3724000000000007</v>
      </c>
      <c r="N23" s="2">
        <v>5.9169</v>
      </c>
    </row>
    <row r="24" spans="1:14" x14ac:dyDescent="0.3">
      <c r="A24" s="2" t="s">
        <v>4</v>
      </c>
      <c r="B24" s="1">
        <v>75</v>
      </c>
      <c r="C24" s="2">
        <v>4.4044000000000008</v>
      </c>
      <c r="D24" s="3">
        <v>0.04</v>
      </c>
      <c r="E24" s="2">
        <f t="shared" si="2"/>
        <v>4.5805760000000006</v>
      </c>
      <c r="F24" s="3">
        <v>0.08</v>
      </c>
      <c r="G24" s="2">
        <f t="shared" si="1"/>
        <v>4.7567520000000005</v>
      </c>
      <c r="H24" s="3">
        <v>0.14000000000000001</v>
      </c>
      <c r="I24" s="2">
        <f t="shared" si="3"/>
        <v>5.0210160000000013</v>
      </c>
      <c r="K24" s="2">
        <v>4.4044000000000008</v>
      </c>
      <c r="L24" s="2">
        <v>4.5253999999999994</v>
      </c>
      <c r="M24" s="2">
        <v>4.5859000000000005</v>
      </c>
      <c r="N24" s="2">
        <v>5.0093999999999994</v>
      </c>
    </row>
    <row r="25" spans="1:14" x14ac:dyDescent="0.3">
      <c r="A25" s="2" t="s">
        <v>4</v>
      </c>
      <c r="B25" s="1">
        <v>60</v>
      </c>
      <c r="C25" s="2">
        <v>3.5089999999999999</v>
      </c>
      <c r="D25" s="3">
        <v>0.04</v>
      </c>
      <c r="E25" s="2">
        <f t="shared" si="2"/>
        <v>3.6493599999999997</v>
      </c>
      <c r="F25" s="3">
        <v>0.08</v>
      </c>
      <c r="G25" s="2">
        <f t="shared" si="1"/>
        <v>3.78972</v>
      </c>
      <c r="H25" s="3">
        <v>0.14000000000000001</v>
      </c>
      <c r="I25" s="2">
        <f t="shared" si="3"/>
        <v>4.0002599999999999</v>
      </c>
      <c r="K25" s="2">
        <v>3.5089999999999999</v>
      </c>
      <c r="L25" s="2">
        <v>3.6079999999999997</v>
      </c>
      <c r="M25" s="2">
        <v>3.7070000000000003</v>
      </c>
      <c r="N25" s="2">
        <v>3.81</v>
      </c>
    </row>
    <row r="26" spans="1:14" x14ac:dyDescent="0.3">
      <c r="A26" s="2" t="s">
        <v>5</v>
      </c>
      <c r="B26" s="1">
        <v>50</v>
      </c>
      <c r="C26" s="2">
        <v>2.7104000000000004</v>
      </c>
      <c r="D26" s="3">
        <v>0.04</v>
      </c>
      <c r="E26" s="2">
        <f t="shared" si="2"/>
        <v>2.8188160000000004</v>
      </c>
      <c r="F26" s="3">
        <v>0.08</v>
      </c>
      <c r="G26" s="2">
        <f t="shared" si="1"/>
        <v>2.9272320000000005</v>
      </c>
      <c r="H26" s="3">
        <v>0.14000000000000001</v>
      </c>
      <c r="I26" s="2">
        <f t="shared" si="3"/>
        <v>3.0898560000000002</v>
      </c>
      <c r="K26" s="2">
        <v>2.7104000000000004</v>
      </c>
      <c r="L26" s="2">
        <v>2.8314000000000004</v>
      </c>
      <c r="M26" s="2">
        <v>2.8919000000000001</v>
      </c>
      <c r="N26" s="2">
        <v>3.3153999999999999</v>
      </c>
    </row>
    <row r="27" spans="1:14" x14ac:dyDescent="0.3">
      <c r="A27" s="2" t="s">
        <v>5</v>
      </c>
      <c r="B27" s="1">
        <v>60</v>
      </c>
      <c r="C27" s="2">
        <v>3.2450000000000001</v>
      </c>
      <c r="D27" s="3">
        <v>0.04</v>
      </c>
      <c r="E27" s="2">
        <f t="shared" si="2"/>
        <v>3.3748</v>
      </c>
      <c r="F27" s="3">
        <v>0.08</v>
      </c>
      <c r="G27" s="2">
        <f t="shared" si="1"/>
        <v>3.5045999999999999</v>
      </c>
      <c r="H27" s="3">
        <v>0.14000000000000001</v>
      </c>
      <c r="I27" s="2">
        <f t="shared" si="3"/>
        <v>3.6993</v>
      </c>
      <c r="K27" s="2">
        <v>3.2450000000000001</v>
      </c>
      <c r="L27" s="2">
        <v>3.3879999999999999</v>
      </c>
      <c r="M27" s="2">
        <v>3.476</v>
      </c>
      <c r="N27" s="2">
        <v>3.9710000000000001</v>
      </c>
    </row>
    <row r="28" spans="1:14" x14ac:dyDescent="0.3">
      <c r="A28" s="2" t="s">
        <v>6</v>
      </c>
      <c r="B28" s="1">
        <v>60</v>
      </c>
      <c r="C28" s="2">
        <v>3.4969000000000001</v>
      </c>
      <c r="D28" s="3">
        <v>0.04</v>
      </c>
      <c r="E28" s="2">
        <f t="shared" si="2"/>
        <v>3.6367760000000002</v>
      </c>
      <c r="F28" s="3">
        <v>0.08</v>
      </c>
      <c r="G28" s="2">
        <f t="shared" si="1"/>
        <v>3.7766520000000003</v>
      </c>
      <c r="H28" s="3">
        <v>0.14000000000000001</v>
      </c>
      <c r="I28" s="2">
        <f t="shared" si="3"/>
        <v>3.9864660000000001</v>
      </c>
      <c r="K28" s="2">
        <v>3.4969000000000001</v>
      </c>
      <c r="L28" s="2">
        <v>3.6179000000000001</v>
      </c>
      <c r="M28" s="2">
        <v>3.6783999999999999</v>
      </c>
      <c r="N28" s="2">
        <v>4.1019000000000005</v>
      </c>
    </row>
    <row r="29" spans="1:14" x14ac:dyDescent="0.3">
      <c r="A29" s="2" t="s">
        <v>7</v>
      </c>
      <c r="B29" s="1">
        <v>36</v>
      </c>
      <c r="C29" s="2">
        <v>1.6214000000000002</v>
      </c>
      <c r="D29" s="3">
        <v>0.04</v>
      </c>
      <c r="E29" s="2">
        <f t="shared" si="2"/>
        <v>1.6862560000000002</v>
      </c>
      <c r="F29" s="3">
        <v>0.08</v>
      </c>
      <c r="G29" s="2">
        <f t="shared" si="1"/>
        <v>1.7511120000000002</v>
      </c>
      <c r="H29" s="3">
        <v>0.14000000000000001</v>
      </c>
      <c r="I29" s="2">
        <f t="shared" si="3"/>
        <v>1.8483960000000002</v>
      </c>
      <c r="K29" s="2">
        <v>1.6214000000000002</v>
      </c>
      <c r="L29" s="2">
        <v>1.6214000000000002</v>
      </c>
      <c r="M29" s="2">
        <v>1.6214000000000002</v>
      </c>
      <c r="N29" s="2">
        <v>2.0449000000000002</v>
      </c>
    </row>
    <row r="30" spans="1:14" x14ac:dyDescent="0.3">
      <c r="A30" s="2" t="s">
        <v>8</v>
      </c>
      <c r="B30" s="1">
        <v>25</v>
      </c>
      <c r="C30" s="2">
        <v>1.9519500000000001</v>
      </c>
      <c r="D30" s="3">
        <v>0.04</v>
      </c>
      <c r="E30" s="2">
        <f t="shared" si="2"/>
        <v>2.0300280000000002</v>
      </c>
      <c r="F30" s="3">
        <v>0.08</v>
      </c>
      <c r="G30" s="2">
        <f t="shared" si="1"/>
        <v>2.1081060000000003</v>
      </c>
      <c r="H30" s="3">
        <v>0.14000000000000001</v>
      </c>
      <c r="I30" s="2">
        <f t="shared" si="3"/>
        <v>2.2252230000000002</v>
      </c>
      <c r="K30" s="2">
        <v>1.9519500000000001</v>
      </c>
      <c r="L30" s="2">
        <v>1.9519500000000001</v>
      </c>
      <c r="M30" s="2">
        <v>1.9519500000000001</v>
      </c>
      <c r="N30" s="2">
        <v>2.2984499999999999</v>
      </c>
    </row>
    <row r="31" spans="1:14" x14ac:dyDescent="0.3">
      <c r="A31" s="2" t="s">
        <v>9</v>
      </c>
      <c r="B31" s="1">
        <v>40</v>
      </c>
      <c r="C31" s="2">
        <v>2.1252</v>
      </c>
      <c r="D31" s="3">
        <v>0.04</v>
      </c>
      <c r="E31" s="2">
        <f t="shared" si="2"/>
        <v>2.2102080000000002</v>
      </c>
      <c r="F31" s="3">
        <v>0.08</v>
      </c>
      <c r="G31" s="2">
        <f t="shared" si="1"/>
        <v>2.2952159999999999</v>
      </c>
      <c r="H31" s="3">
        <v>0.14000000000000001</v>
      </c>
      <c r="I31" s="2">
        <f t="shared" si="3"/>
        <v>2.4227280000000002</v>
      </c>
      <c r="K31" s="2">
        <v>2.1252</v>
      </c>
      <c r="L31" s="2">
        <v>2.1252</v>
      </c>
      <c r="M31" s="2">
        <v>2.1829500000000004</v>
      </c>
      <c r="N31" s="2">
        <v>2.5872000000000006</v>
      </c>
    </row>
    <row r="32" spans="1:14" x14ac:dyDescent="0.3">
      <c r="A32" s="4" t="s">
        <v>47</v>
      </c>
      <c r="B32" s="5"/>
      <c r="C32" s="4"/>
      <c r="D32" s="6"/>
      <c r="E32" s="4"/>
      <c r="F32" s="6"/>
      <c r="G32" s="4"/>
      <c r="H32" s="6"/>
      <c r="I32" s="4"/>
      <c r="K32" s="4"/>
      <c r="L32" s="4"/>
      <c r="M32" s="4"/>
      <c r="N32" s="4"/>
    </row>
    <row r="33" spans="1:14" x14ac:dyDescent="0.3">
      <c r="A33" s="2" t="s">
        <v>38</v>
      </c>
      <c r="B33" s="1">
        <v>50</v>
      </c>
      <c r="C33" s="2">
        <v>3.3220000000000001</v>
      </c>
      <c r="D33" s="3">
        <v>0.04</v>
      </c>
      <c r="E33" s="2">
        <f t="shared" si="2"/>
        <v>3.4548800000000002</v>
      </c>
      <c r="F33" s="3">
        <v>0.08</v>
      </c>
      <c r="G33" s="2">
        <f t="shared" si="1"/>
        <v>3.5877600000000003</v>
      </c>
      <c r="H33" s="3">
        <v>0.14000000000000001</v>
      </c>
      <c r="I33" s="2">
        <f t="shared" si="3"/>
        <v>3.78708</v>
      </c>
      <c r="K33" s="2">
        <v>3.3220000000000001</v>
      </c>
      <c r="L33" s="2">
        <v>3.4219999999999997</v>
      </c>
      <c r="M33" s="2">
        <v>3.52</v>
      </c>
      <c r="N33" s="2">
        <v>3.62</v>
      </c>
    </row>
    <row r="34" spans="1:14" x14ac:dyDescent="0.3">
      <c r="A34" s="2" t="s">
        <v>39</v>
      </c>
      <c r="B34" s="1">
        <v>50</v>
      </c>
      <c r="C34" s="2">
        <v>3.32</v>
      </c>
      <c r="D34" s="3">
        <v>0.04</v>
      </c>
      <c r="E34" s="2">
        <f t="shared" si="2"/>
        <v>3.4527999999999999</v>
      </c>
      <c r="F34" s="3">
        <v>0.08</v>
      </c>
      <c r="G34" s="2">
        <f t="shared" si="1"/>
        <v>3.5855999999999999</v>
      </c>
      <c r="H34" s="3">
        <v>0.14000000000000001</v>
      </c>
      <c r="I34" s="2">
        <f t="shared" si="3"/>
        <v>3.7847999999999997</v>
      </c>
      <c r="K34" s="2">
        <v>3.32</v>
      </c>
      <c r="L34" s="2">
        <v>3.4199999999999995</v>
      </c>
      <c r="M34" s="2">
        <v>3.52</v>
      </c>
      <c r="N34" s="2">
        <v>3.62</v>
      </c>
    </row>
    <row r="35" spans="1:14" x14ac:dyDescent="0.3">
      <c r="A35" s="2" t="s">
        <v>40</v>
      </c>
      <c r="B35" s="1">
        <v>50</v>
      </c>
      <c r="C35" s="2">
        <v>3.32</v>
      </c>
      <c r="D35" s="3">
        <v>0.04</v>
      </c>
      <c r="E35" s="2">
        <f t="shared" si="2"/>
        <v>3.4527999999999999</v>
      </c>
      <c r="F35" s="3">
        <v>0.08</v>
      </c>
      <c r="G35" s="2">
        <f t="shared" si="1"/>
        <v>3.5855999999999999</v>
      </c>
      <c r="H35" s="3">
        <v>0.14000000000000001</v>
      </c>
      <c r="I35" s="2">
        <f t="shared" si="3"/>
        <v>3.7847999999999997</v>
      </c>
      <c r="K35" s="2">
        <v>3.32</v>
      </c>
      <c r="L35" s="2">
        <v>3.4199999999999995</v>
      </c>
      <c r="M35" s="2">
        <v>3.52</v>
      </c>
      <c r="N35" s="2">
        <v>3.62</v>
      </c>
    </row>
    <row r="36" spans="1:14" x14ac:dyDescent="0.3">
      <c r="A36" s="4" t="s">
        <v>46</v>
      </c>
      <c r="B36" s="5"/>
      <c r="C36" s="4"/>
      <c r="D36" s="6"/>
      <c r="E36" s="4"/>
      <c r="F36" s="6"/>
      <c r="G36" s="4"/>
      <c r="H36" s="6"/>
      <c r="I36" s="4"/>
      <c r="K36" s="4"/>
      <c r="L36" s="4"/>
      <c r="M36" s="4"/>
      <c r="N36" s="4"/>
    </row>
    <row r="37" spans="1:14" x14ac:dyDescent="0.3">
      <c r="A37" s="2" t="s">
        <v>24</v>
      </c>
      <c r="B37" s="1">
        <v>50</v>
      </c>
      <c r="C37" s="2">
        <v>2.9524000000000004</v>
      </c>
      <c r="D37" s="3">
        <v>0.04</v>
      </c>
      <c r="E37" s="2">
        <f t="shared" si="2"/>
        <v>3.0704960000000003</v>
      </c>
      <c r="F37" s="3">
        <v>0.08</v>
      </c>
      <c r="G37" s="2">
        <f t="shared" si="1"/>
        <v>3.1885920000000003</v>
      </c>
      <c r="H37" s="3">
        <v>0.14000000000000001</v>
      </c>
      <c r="I37" s="2">
        <f t="shared" si="3"/>
        <v>3.3657360000000005</v>
      </c>
      <c r="K37" s="2">
        <v>2.9524000000000004</v>
      </c>
      <c r="L37" s="2">
        <v>3.0128999999999997</v>
      </c>
      <c r="M37" s="2">
        <v>3.3109999999999999</v>
      </c>
      <c r="N37" s="2">
        <v>3.4363999999999995</v>
      </c>
    </row>
    <row r="38" spans="1:14" x14ac:dyDescent="0.3">
      <c r="A38" s="2" t="s">
        <v>25</v>
      </c>
      <c r="B38" s="1">
        <v>56</v>
      </c>
      <c r="C38" s="2">
        <v>2.5893999999999999</v>
      </c>
      <c r="D38" s="3">
        <v>0.04</v>
      </c>
      <c r="E38" s="2">
        <f t="shared" si="2"/>
        <v>2.6929759999999998</v>
      </c>
      <c r="F38" s="3">
        <v>0.08</v>
      </c>
      <c r="G38" s="2">
        <f t="shared" si="1"/>
        <v>2.7965520000000001</v>
      </c>
      <c r="H38" s="3">
        <v>0.14000000000000001</v>
      </c>
      <c r="I38" s="2">
        <f t="shared" si="3"/>
        <v>2.9519159999999998</v>
      </c>
      <c r="K38" s="2">
        <v>2.5893999999999999</v>
      </c>
      <c r="L38" s="2">
        <v>2.7104000000000004</v>
      </c>
      <c r="M38" s="2">
        <v>2.7709000000000001</v>
      </c>
      <c r="N38" s="2">
        <v>3.1943999999999999</v>
      </c>
    </row>
    <row r="39" spans="1:14" x14ac:dyDescent="0.3">
      <c r="A39" s="4" t="s">
        <v>45</v>
      </c>
      <c r="B39" s="5"/>
      <c r="C39" s="4"/>
      <c r="D39" s="6"/>
      <c r="E39" s="4"/>
      <c r="F39" s="6"/>
      <c r="G39" s="4"/>
      <c r="H39" s="6"/>
      <c r="I39" s="4"/>
      <c r="K39" s="4"/>
      <c r="L39" s="4"/>
      <c r="M39" s="4"/>
      <c r="N39" s="4"/>
    </row>
    <row r="40" spans="1:14" x14ac:dyDescent="0.3">
      <c r="A40" s="2" t="s">
        <v>2</v>
      </c>
      <c r="B40" s="1">
        <v>60</v>
      </c>
      <c r="C40" s="2">
        <v>2.5294499999999998</v>
      </c>
      <c r="D40" s="3">
        <v>0.04</v>
      </c>
      <c r="E40" s="2">
        <f t="shared" si="2"/>
        <v>2.6306279999999997</v>
      </c>
      <c r="F40" s="3">
        <v>0.08</v>
      </c>
      <c r="G40" s="2">
        <f t="shared" si="1"/>
        <v>2.7318059999999997</v>
      </c>
      <c r="H40" s="3">
        <v>0.14000000000000001</v>
      </c>
      <c r="I40" s="2">
        <f t="shared" si="3"/>
        <v>2.8835729999999997</v>
      </c>
      <c r="K40" s="2">
        <v>2.5294499999999998</v>
      </c>
      <c r="L40" s="2">
        <v>2.6449500000000001</v>
      </c>
      <c r="M40" s="2">
        <v>2.7026999999999997</v>
      </c>
      <c r="N40" s="2">
        <v>3.1069499999999999</v>
      </c>
    </row>
    <row r="41" spans="1:14" x14ac:dyDescent="0.3">
      <c r="A41" s="2" t="s">
        <v>3</v>
      </c>
      <c r="B41" s="1">
        <v>60</v>
      </c>
      <c r="C41" s="2">
        <v>2.7604500000000001</v>
      </c>
      <c r="D41" s="3">
        <v>0.04</v>
      </c>
      <c r="E41" s="2">
        <f t="shared" si="2"/>
        <v>2.8708680000000002</v>
      </c>
      <c r="F41" s="3">
        <v>0.08</v>
      </c>
      <c r="G41" s="2">
        <f t="shared" si="1"/>
        <v>2.9812859999999999</v>
      </c>
      <c r="H41" s="3">
        <v>0.14000000000000001</v>
      </c>
      <c r="I41" s="2">
        <f t="shared" si="3"/>
        <v>3.1469130000000001</v>
      </c>
      <c r="K41" s="2">
        <v>2.7604500000000001</v>
      </c>
      <c r="L41" s="2">
        <v>2.8759500000000005</v>
      </c>
      <c r="M41" s="2">
        <v>2.9337</v>
      </c>
      <c r="N41" s="2">
        <v>3.2801999999999998</v>
      </c>
    </row>
    <row r="42" spans="1:14" x14ac:dyDescent="0.3">
      <c r="A42" s="2" t="s">
        <v>10</v>
      </c>
      <c r="B42" s="1">
        <v>25</v>
      </c>
      <c r="C42" s="2">
        <v>1.8632249999999999</v>
      </c>
      <c r="D42" s="3">
        <v>0.04</v>
      </c>
      <c r="E42" s="2">
        <f t="shared" si="2"/>
        <v>1.937754</v>
      </c>
      <c r="F42" s="3">
        <v>0.08</v>
      </c>
      <c r="G42" s="2">
        <f t="shared" si="1"/>
        <v>2.012283</v>
      </c>
      <c r="H42" s="3">
        <v>0.14000000000000001</v>
      </c>
      <c r="I42" s="2">
        <f t="shared" si="3"/>
        <v>2.1240765000000001</v>
      </c>
      <c r="K42" s="2">
        <v>1.8632249999999999</v>
      </c>
      <c r="L42" s="2">
        <v>2.06745</v>
      </c>
      <c r="M42" s="2">
        <v>2.1252</v>
      </c>
      <c r="N42" s="2">
        <v>2.4717000000000002</v>
      </c>
    </row>
    <row r="43" spans="1:14" x14ac:dyDescent="0.3">
      <c r="A43" s="2" t="s">
        <v>11</v>
      </c>
      <c r="B43" s="1">
        <v>25</v>
      </c>
      <c r="C43" s="2">
        <v>1.8632249999999999</v>
      </c>
      <c r="D43" s="3">
        <v>0.04</v>
      </c>
      <c r="E43" s="2">
        <f t="shared" si="2"/>
        <v>1.937754</v>
      </c>
      <c r="F43" s="3">
        <v>0.08</v>
      </c>
      <c r="G43" s="2">
        <f t="shared" si="1"/>
        <v>2.012283</v>
      </c>
      <c r="H43" s="3">
        <v>0.14000000000000001</v>
      </c>
      <c r="I43" s="2">
        <f t="shared" si="3"/>
        <v>2.1240765000000001</v>
      </c>
      <c r="K43" s="2">
        <v>1.8632249999999999</v>
      </c>
      <c r="L43" s="2">
        <v>2.06745</v>
      </c>
      <c r="M43" s="2">
        <v>2.1252</v>
      </c>
      <c r="N43" s="2">
        <v>2.4717000000000002</v>
      </c>
    </row>
    <row r="44" spans="1:14" x14ac:dyDescent="0.3">
      <c r="A44" s="2" t="s">
        <v>12</v>
      </c>
      <c r="B44" s="1">
        <v>25</v>
      </c>
      <c r="C44" s="2">
        <v>1.8632249999999999</v>
      </c>
      <c r="D44" s="3">
        <v>0.04</v>
      </c>
      <c r="E44" s="2">
        <f t="shared" si="2"/>
        <v>1.937754</v>
      </c>
      <c r="F44" s="3">
        <v>0.08</v>
      </c>
      <c r="G44" s="2">
        <f t="shared" si="1"/>
        <v>2.012283</v>
      </c>
      <c r="H44" s="3">
        <v>0.14000000000000001</v>
      </c>
      <c r="I44" s="2">
        <f t="shared" si="3"/>
        <v>2.1240765000000001</v>
      </c>
      <c r="K44" s="2">
        <v>1.8632249999999999</v>
      </c>
      <c r="L44" s="2">
        <v>2.06745</v>
      </c>
      <c r="M44" s="2">
        <v>2.1252</v>
      </c>
      <c r="N44" s="2">
        <v>2.4717000000000002</v>
      </c>
    </row>
    <row r="45" spans="1:14" x14ac:dyDescent="0.3">
      <c r="A45" s="2" t="s">
        <v>13</v>
      </c>
      <c r="B45" s="1">
        <v>25</v>
      </c>
      <c r="C45" s="2">
        <v>1.8632249999999999</v>
      </c>
      <c r="D45" s="3">
        <v>0.04</v>
      </c>
      <c r="E45" s="2">
        <f t="shared" si="2"/>
        <v>1.937754</v>
      </c>
      <c r="F45" s="3">
        <v>0.08</v>
      </c>
      <c r="G45" s="2">
        <f t="shared" si="1"/>
        <v>2.012283</v>
      </c>
      <c r="H45" s="3">
        <v>0.14000000000000001</v>
      </c>
      <c r="I45" s="2">
        <f t="shared" si="3"/>
        <v>2.1240765000000001</v>
      </c>
      <c r="K45" s="2">
        <v>1.8632249999999999</v>
      </c>
      <c r="L45" s="2">
        <v>2.06745</v>
      </c>
      <c r="M45" s="2">
        <v>2.1252</v>
      </c>
      <c r="N45" s="2">
        <v>2.4717000000000002</v>
      </c>
    </row>
    <row r="46" spans="1:14" x14ac:dyDescent="0.3">
      <c r="A46" s="2" t="s">
        <v>8</v>
      </c>
      <c r="B46" s="1">
        <v>25</v>
      </c>
      <c r="C46" s="2">
        <v>1.9519500000000001</v>
      </c>
      <c r="D46" s="3">
        <v>0.04</v>
      </c>
      <c r="E46" s="2">
        <f t="shared" si="2"/>
        <v>2.0300280000000002</v>
      </c>
      <c r="F46" s="3">
        <v>0.08</v>
      </c>
      <c r="G46" s="2">
        <f t="shared" si="1"/>
        <v>2.1081060000000003</v>
      </c>
      <c r="H46" s="3">
        <v>0.14000000000000001</v>
      </c>
      <c r="I46" s="2">
        <f t="shared" si="3"/>
        <v>2.2252230000000002</v>
      </c>
      <c r="K46" s="2">
        <v>1.9519500000000001</v>
      </c>
      <c r="L46" s="2">
        <v>1.9519500000000001</v>
      </c>
      <c r="M46" s="2">
        <v>1.9519500000000001</v>
      </c>
      <c r="N46" s="2">
        <v>2.2984499999999999</v>
      </c>
    </row>
    <row r="47" spans="1:14" x14ac:dyDescent="0.3">
      <c r="H47" s="3"/>
    </row>
  </sheetData>
  <mergeCells count="1">
    <mergeCell ref="K1:N4"/>
  </mergeCells>
  <pageMargins left="0.7" right="0.7" top="0.75" bottom="0.75" header="0.3" footer="0.3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2"/>
  <sheetViews>
    <sheetView workbookViewId="0">
      <selection activeCell="C21" sqref="C21"/>
    </sheetView>
  </sheetViews>
  <sheetFormatPr defaultRowHeight="14.4" x14ac:dyDescent="0.3"/>
  <cols>
    <col min="1" max="1" width="27.109375" customWidth="1"/>
    <col min="4" max="4" width="11.5546875" bestFit="1" customWidth="1"/>
    <col min="5" max="6" width="9.109375" style="31"/>
    <col min="7" max="7" width="9.109375" style="32"/>
  </cols>
  <sheetData>
    <row r="1" spans="1:7" x14ac:dyDescent="0.3">
      <c r="A1" t="s">
        <v>50</v>
      </c>
    </row>
    <row r="3" spans="1:7" x14ac:dyDescent="0.3">
      <c r="A3" t="s">
        <v>51</v>
      </c>
    </row>
    <row r="4" spans="1:7" x14ac:dyDescent="0.3">
      <c r="A4" t="s">
        <v>52</v>
      </c>
    </row>
    <row r="5" spans="1:7" x14ac:dyDescent="0.3">
      <c r="A5" t="s">
        <v>53</v>
      </c>
    </row>
    <row r="6" spans="1:7" x14ac:dyDescent="0.3">
      <c r="A6" t="s">
        <v>54</v>
      </c>
    </row>
    <row r="8" spans="1:7" x14ac:dyDescent="0.3">
      <c r="E8"/>
      <c r="F8"/>
      <c r="G8"/>
    </row>
    <row r="9" spans="1:7" x14ac:dyDescent="0.3">
      <c r="E9"/>
      <c r="F9"/>
      <c r="G9"/>
    </row>
    <row r="10" spans="1:7" x14ac:dyDescent="0.3">
      <c r="E10"/>
      <c r="F10"/>
      <c r="G10"/>
    </row>
    <row r="11" spans="1:7" x14ac:dyDescent="0.3">
      <c r="E11"/>
      <c r="F11"/>
      <c r="G11"/>
    </row>
    <row r="12" spans="1:7" x14ac:dyDescent="0.3">
      <c r="E12"/>
      <c r="F12"/>
      <c r="G12"/>
    </row>
    <row r="13" spans="1:7" x14ac:dyDescent="0.3">
      <c r="E13"/>
      <c r="F13"/>
      <c r="G13"/>
    </row>
    <row r="14" spans="1:7" x14ac:dyDescent="0.3">
      <c r="E14"/>
      <c r="F14"/>
      <c r="G14"/>
    </row>
    <row r="15" spans="1:7" x14ac:dyDescent="0.3">
      <c r="E15"/>
      <c r="F15"/>
      <c r="G15"/>
    </row>
    <row r="16" spans="1:7" x14ac:dyDescent="0.3">
      <c r="E16"/>
      <c r="F16"/>
      <c r="G16"/>
    </row>
    <row r="17" spans="1:7" x14ac:dyDescent="0.3">
      <c r="E17"/>
      <c r="F17"/>
      <c r="G17"/>
    </row>
    <row r="18" spans="1:7" x14ac:dyDescent="0.3">
      <c r="E18"/>
      <c r="F18"/>
      <c r="G18"/>
    </row>
    <row r="19" spans="1:7" x14ac:dyDescent="0.3">
      <c r="E19"/>
      <c r="F19"/>
      <c r="G19"/>
    </row>
    <row r="20" spans="1:7" x14ac:dyDescent="0.3">
      <c r="A20" s="11"/>
      <c r="B20" s="11"/>
    </row>
    <row r="21" spans="1:7" x14ac:dyDescent="0.3">
      <c r="A21" s="11"/>
      <c r="B21" s="11"/>
    </row>
    <row r="22" spans="1:7" x14ac:dyDescent="0.3">
      <c r="A22" s="11"/>
      <c r="B22" s="11"/>
    </row>
    <row r="23" spans="1:7" x14ac:dyDescent="0.3">
      <c r="A23" s="11"/>
      <c r="B23" s="11"/>
    </row>
    <row r="24" spans="1:7" x14ac:dyDescent="0.3">
      <c r="A24" s="11"/>
      <c r="B24" s="11"/>
    </row>
    <row r="25" spans="1:7" x14ac:dyDescent="0.3">
      <c r="A25" s="11"/>
      <c r="B25" s="11"/>
    </row>
    <row r="26" spans="1:7" x14ac:dyDescent="0.3">
      <c r="A26" s="11"/>
      <c r="B26" s="11"/>
    </row>
    <row r="27" spans="1:7" x14ac:dyDescent="0.3">
      <c r="A27" s="11"/>
      <c r="B27" s="11"/>
    </row>
    <row r="28" spans="1:7" x14ac:dyDescent="0.3">
      <c r="A28" s="11"/>
      <c r="B28" s="11"/>
    </row>
    <row r="29" spans="1:7" x14ac:dyDescent="0.3">
      <c r="A29" s="11"/>
      <c r="B29" s="11"/>
    </row>
    <row r="30" spans="1:7" x14ac:dyDescent="0.3">
      <c r="A30" s="11"/>
      <c r="B30" s="11"/>
    </row>
    <row r="31" spans="1:7" x14ac:dyDescent="0.3">
      <c r="A31" s="11"/>
      <c r="B31" s="11"/>
    </row>
    <row r="32" spans="1:7" x14ac:dyDescent="0.3">
      <c r="A32" s="11"/>
      <c r="B32" s="11"/>
    </row>
    <row r="33" spans="1:2" x14ac:dyDescent="0.3">
      <c r="A33" s="11"/>
      <c r="B33" s="11"/>
    </row>
    <row r="34" spans="1:2" x14ac:dyDescent="0.3">
      <c r="A34" s="11"/>
      <c r="B34" s="11"/>
    </row>
    <row r="35" spans="1:2" x14ac:dyDescent="0.3">
      <c r="A35" s="11"/>
      <c r="B35" s="11"/>
    </row>
    <row r="36" spans="1:2" x14ac:dyDescent="0.3">
      <c r="A36" s="11"/>
      <c r="B36" s="11"/>
    </row>
    <row r="37" spans="1:2" x14ac:dyDescent="0.3">
      <c r="A37" s="11"/>
      <c r="B37" s="11"/>
    </row>
    <row r="38" spans="1:2" x14ac:dyDescent="0.3">
      <c r="A38" s="11"/>
      <c r="B38" s="11"/>
    </row>
    <row r="39" spans="1:2" x14ac:dyDescent="0.3">
      <c r="A39" s="11"/>
      <c r="B39" s="11"/>
    </row>
    <row r="40" spans="1:2" x14ac:dyDescent="0.3">
      <c r="A40" s="11"/>
      <c r="B40" s="11"/>
    </row>
    <row r="41" spans="1:2" x14ac:dyDescent="0.3">
      <c r="A41" s="11"/>
      <c r="B41" s="11"/>
    </row>
    <row r="42" spans="1:2" x14ac:dyDescent="0.3">
      <c r="A42" s="11"/>
      <c r="B42" s="11"/>
    </row>
    <row r="43" spans="1:2" x14ac:dyDescent="0.3">
      <c r="A43" s="11"/>
      <c r="B43" s="11"/>
    </row>
    <row r="44" spans="1:2" x14ac:dyDescent="0.3">
      <c r="A44" s="11"/>
      <c r="B44" s="11"/>
    </row>
    <row r="45" spans="1:2" x14ac:dyDescent="0.3">
      <c r="A45" s="11"/>
      <c r="B45" s="11"/>
    </row>
    <row r="46" spans="1:2" x14ac:dyDescent="0.3">
      <c r="A46" s="11"/>
      <c r="B46" s="11"/>
    </row>
    <row r="47" spans="1:2" x14ac:dyDescent="0.3">
      <c r="A47" s="11"/>
      <c r="B47" s="11"/>
    </row>
    <row r="48" spans="1:2" x14ac:dyDescent="0.3">
      <c r="A48" s="11"/>
      <c r="B48" s="11"/>
    </row>
    <row r="49" spans="1:2" x14ac:dyDescent="0.3">
      <c r="A49" s="11"/>
      <c r="B49" s="11"/>
    </row>
    <row r="50" spans="1:2" x14ac:dyDescent="0.3">
      <c r="A50" s="11"/>
      <c r="B50" s="11"/>
    </row>
    <row r="51" spans="1:2" x14ac:dyDescent="0.3">
      <c r="A51" s="11"/>
      <c r="B51" s="11"/>
    </row>
    <row r="52" spans="1:2" x14ac:dyDescent="0.3">
      <c r="A52" s="11"/>
      <c r="B5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Longacres</vt:lpstr>
      <vt:lpstr>Formulas 14 November 2024</vt:lpstr>
      <vt:lpstr>Belfast City Council 2024</vt:lpstr>
      <vt:lpstr>Export</vt:lpstr>
      <vt:lpstr>Pence Increase</vt:lpstr>
      <vt:lpstr>2022 COD Haulage Zones</vt:lpstr>
      <vt:lpstr>% Calculator</vt:lpstr>
      <vt:lpstr>'Belfast City Council 2024'!Print_Area</vt:lpstr>
      <vt:lpstr>Export!Print_Area</vt:lpstr>
      <vt:lpstr>'Formulas 14 November 2024'!Print_Area</vt:lpstr>
      <vt:lpstr>Longacres!Print_Area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</dc:creator>
  <cp:lastModifiedBy>Neil Hobson</cp:lastModifiedBy>
  <cp:lastPrinted>2024-11-14T13:44:46Z</cp:lastPrinted>
  <dcterms:created xsi:type="dcterms:W3CDTF">2020-10-28T10:43:35Z</dcterms:created>
  <dcterms:modified xsi:type="dcterms:W3CDTF">2025-01-27T15:23:01Z</dcterms:modified>
</cp:coreProperties>
</file>