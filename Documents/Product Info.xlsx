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eilh\Downloads\"/>
    </mc:Choice>
  </mc:AlternateContent>
  <xr:revisionPtr revIDLastSave="0" documentId="13_ncr:1_{A2E67A94-0A4E-4375-9485-557B5EF33D2A}" xr6:coauthVersionLast="47" xr6:coauthVersionMax="47" xr10:uidLastSave="{00000000-0000-0000-0000-000000000000}"/>
  <bookViews>
    <workbookView xWindow="1548" yWindow="2868" windowWidth="28044" windowHeight="18348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5" i="2" l="1"/>
  <c r="O35" i="2" s="1"/>
  <c r="M8" i="2"/>
  <c r="O8" i="2" s="1"/>
  <c r="M41" i="2"/>
  <c r="O41" i="2" s="1"/>
  <c r="M40" i="2"/>
  <c r="O40" i="2" s="1"/>
  <c r="M39" i="2"/>
  <c r="O39" i="2" s="1"/>
  <c r="M20" i="2"/>
  <c r="O20" i="2" s="1"/>
  <c r="M17" i="2"/>
  <c r="O17" i="2" s="1"/>
  <c r="M15" i="2"/>
  <c r="O15" i="2" s="1"/>
  <c r="M33" i="2"/>
  <c r="O33" i="2" s="1"/>
  <c r="M32" i="2"/>
  <c r="O32" i="2" s="1"/>
  <c r="M61" i="2" l="1"/>
  <c r="O61" i="2" s="1"/>
  <c r="M62" i="2"/>
  <c r="O62" i="2" s="1"/>
  <c r="M4" i="2"/>
  <c r="O4" i="2" s="1"/>
  <c r="M5" i="2"/>
  <c r="O5" i="2" s="1"/>
  <c r="M6" i="2"/>
  <c r="O6" i="2" s="1"/>
  <c r="M7" i="2"/>
  <c r="O7" i="2" s="1"/>
  <c r="M9" i="2"/>
  <c r="O9" i="2" s="1"/>
  <c r="M10" i="2"/>
  <c r="O10" i="2" s="1"/>
  <c r="M11" i="2"/>
  <c r="O11" i="2" s="1"/>
  <c r="M12" i="2"/>
  <c r="O12" i="2" s="1"/>
  <c r="M13" i="2"/>
  <c r="O13" i="2" s="1"/>
  <c r="M21" i="2"/>
  <c r="O21" i="2" s="1"/>
  <c r="M18" i="2"/>
  <c r="O18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14" i="2"/>
  <c r="O14" i="2" s="1"/>
  <c r="M16" i="2"/>
  <c r="O16" i="2" s="1"/>
  <c r="M19" i="2"/>
  <c r="O19" i="2" s="1"/>
  <c r="M31" i="2"/>
  <c r="O31" i="2" s="1"/>
  <c r="M36" i="2"/>
  <c r="O36" i="2" s="1"/>
  <c r="M37" i="2"/>
  <c r="O37" i="2" s="1"/>
  <c r="M38" i="2"/>
  <c r="O38" i="2" s="1"/>
  <c r="M43" i="2"/>
  <c r="O43" i="2" s="1"/>
  <c r="M44" i="2"/>
  <c r="O44" i="2" s="1"/>
  <c r="M47" i="2"/>
  <c r="O47" i="2" s="1"/>
  <c r="M54" i="2"/>
  <c r="O54" i="2" s="1"/>
  <c r="M55" i="2"/>
  <c r="O55" i="2" s="1"/>
  <c r="M56" i="2"/>
  <c r="O56" i="2" s="1"/>
  <c r="M57" i="2"/>
  <c r="O57" i="2" s="1"/>
  <c r="M58" i="2"/>
  <c r="O58" i="2" s="1"/>
  <c r="M59" i="2"/>
  <c r="O59" i="2" s="1"/>
  <c r="M60" i="2"/>
  <c r="O60" i="2" s="1"/>
  <c r="M3" i="2"/>
  <c r="O3" i="2" s="1"/>
</calcChain>
</file>

<file path=xl/sharedStrings.xml><?xml version="1.0" encoding="utf-8"?>
<sst xmlns="http://schemas.openxmlformats.org/spreadsheetml/2006/main" count="453" uniqueCount="194">
  <si>
    <t>Barcode</t>
  </si>
  <si>
    <t>10 Litre</t>
  </si>
  <si>
    <t>20 Litre</t>
  </si>
  <si>
    <t>40 Litre</t>
  </si>
  <si>
    <t>60 Litre</t>
  </si>
  <si>
    <t>Multi-Purpose</t>
  </si>
  <si>
    <t>Bag Size</t>
  </si>
  <si>
    <t>Ericaceous</t>
  </si>
  <si>
    <t>Irish Moss Peat</t>
  </si>
  <si>
    <t xml:space="preserve">Top Soil </t>
  </si>
  <si>
    <t>25 Litre</t>
  </si>
  <si>
    <t>Multi-Purpose with John Innes</t>
  </si>
  <si>
    <t>75 Litre</t>
  </si>
  <si>
    <t>100 Litre</t>
  </si>
  <si>
    <t>150 Litre</t>
  </si>
  <si>
    <t>Mutli-Purpose</t>
  </si>
  <si>
    <t>Farmyard Manure</t>
  </si>
  <si>
    <t>200 Litre</t>
  </si>
  <si>
    <t>250 Litre</t>
  </si>
  <si>
    <t>Decorative Bark</t>
  </si>
  <si>
    <t>Composted Bark</t>
  </si>
  <si>
    <t>Mini Chip Bark</t>
  </si>
  <si>
    <t>50 Litre</t>
  </si>
  <si>
    <t>4 Plant Growbag</t>
  </si>
  <si>
    <t>Potting Pro Mix</t>
  </si>
  <si>
    <t>Tub and Basket</t>
  </si>
  <si>
    <t>McLarens Nurseries - MP</t>
  </si>
  <si>
    <t>Newstead Nurseries - MP</t>
  </si>
  <si>
    <t>John Innes Seed</t>
  </si>
  <si>
    <t>Abbeymoor Organic</t>
  </si>
  <si>
    <t>Finchley Nurseries Multi-Purpose</t>
  </si>
  <si>
    <t>LBS Multi-Purpose</t>
  </si>
  <si>
    <t>LBS Potting &amp; Bedding</t>
  </si>
  <si>
    <t>Hildreths Multi-Purpose</t>
  </si>
  <si>
    <t>Evergreen Peat Free</t>
  </si>
  <si>
    <t>Evergreen Originals</t>
  </si>
  <si>
    <t>Back to Nature Peat Reduced</t>
  </si>
  <si>
    <t>Greendays Blends</t>
  </si>
  <si>
    <t>Own Label</t>
  </si>
  <si>
    <t>Peat Free All Purpose</t>
  </si>
  <si>
    <t>Peat Free All Purpose with JI</t>
  </si>
  <si>
    <t>Peat Free Fruit and Veg</t>
  </si>
  <si>
    <t>Peat Reduced All Purpose</t>
  </si>
  <si>
    <t>Peat Reduced Tomato &amp; Veg Planter</t>
  </si>
  <si>
    <t>56 Litre</t>
  </si>
  <si>
    <t>400 x 290 x 60</t>
  </si>
  <si>
    <t>540 x 350 x 60</t>
  </si>
  <si>
    <t>640 X 400 X 90</t>
  </si>
  <si>
    <t>Multi Purpose</t>
  </si>
  <si>
    <t>Rose, Tree &amp; Shrub</t>
  </si>
  <si>
    <t>Potting Substrate (Export)</t>
  </si>
  <si>
    <t>660 x 420 x 100</t>
  </si>
  <si>
    <t>660 X 440 X 100</t>
  </si>
  <si>
    <t>880 X 520 X 80</t>
  </si>
  <si>
    <t>580 X 400 X 200</t>
  </si>
  <si>
    <t>600 x 420 x 70</t>
  </si>
  <si>
    <t>600 X 400 X 200</t>
  </si>
  <si>
    <t>880 x 500 x 100</t>
  </si>
  <si>
    <t>660 x 440 x 100</t>
  </si>
  <si>
    <t>400 x 330 x 70</t>
  </si>
  <si>
    <t>600 x 350 x 70</t>
  </si>
  <si>
    <t>Weight Per Bag (kgs)</t>
  </si>
  <si>
    <t>Weight Per Pallet (kgs)</t>
  </si>
  <si>
    <t>Pallet Weight (kgs)</t>
  </si>
  <si>
    <t>Total Gross (Pallet &amp; Bags)</t>
  </si>
  <si>
    <t>Dims per pallet (mm)</t>
  </si>
  <si>
    <t>Dims per bag (mm)</t>
  </si>
  <si>
    <t>Bags Per Pallet</t>
  </si>
  <si>
    <t>Total Layers</t>
  </si>
  <si>
    <t>Bags Per Layer</t>
  </si>
  <si>
    <t>1240 x 1010 x 1550H</t>
  </si>
  <si>
    <t xml:space="preserve">660 x 440 x 100 </t>
  </si>
  <si>
    <t>1230 X 1000 X 1620 (H)</t>
  </si>
  <si>
    <t>1230 X 980 X 1570 (H)</t>
  </si>
  <si>
    <t>36 Litre</t>
  </si>
  <si>
    <t>890 X 360 X 70</t>
  </si>
  <si>
    <t>1130 X 1020 X 1490 (H)</t>
  </si>
  <si>
    <t>1280 X 960 X 1830 (H)</t>
  </si>
  <si>
    <t>1180 X 960 X 1150 (H)</t>
  </si>
  <si>
    <t>1230 X 950 X 1700 (H)</t>
  </si>
  <si>
    <t>1170 X 960 X 1400 (H)</t>
  </si>
  <si>
    <t>1260 X 1040 X 1600 (H)</t>
  </si>
  <si>
    <t>1260 X 1030 X 1470 (H)</t>
  </si>
  <si>
    <t>1280 X 960 X 1930 (H)</t>
  </si>
  <si>
    <t>1190 X 960 X 1570 (H)</t>
  </si>
  <si>
    <t>1130 X 950 X 1120 (H)</t>
  </si>
  <si>
    <t>1210 X 990 X 1360 (H)</t>
  </si>
  <si>
    <t>1210 X 1010 X 1460 (H)</t>
  </si>
  <si>
    <t>1160 X 980 X 1770 (H)</t>
  </si>
  <si>
    <t>1240 X 1050 X 1490 (H)</t>
  </si>
  <si>
    <t>660 X 420 X 100</t>
  </si>
  <si>
    <t>1240 x 1040 x 1700 (H)</t>
  </si>
  <si>
    <t>Item No.</t>
  </si>
  <si>
    <t>Doff 10L Easy Compost</t>
  </si>
  <si>
    <t>Doff 10L MPC</t>
  </si>
  <si>
    <t>EG 10L MP</t>
  </si>
  <si>
    <t>EG 20L MP</t>
  </si>
  <si>
    <t>EG 40L MP</t>
  </si>
  <si>
    <t>EG 60L MP</t>
  </si>
  <si>
    <t>EG 75L MP</t>
  </si>
  <si>
    <t>EG 100L MP</t>
  </si>
  <si>
    <t>EG 150L MP</t>
  </si>
  <si>
    <t>EG 50L MP</t>
  </si>
  <si>
    <t>EG 60L MP JI</t>
  </si>
  <si>
    <t>EG 60L Potting</t>
  </si>
  <si>
    <t>EG 60L Rose Tree Shrub</t>
  </si>
  <si>
    <t>EG 60L Mini Chip Bark</t>
  </si>
  <si>
    <t>EG 60L Ericaceous</t>
  </si>
  <si>
    <t>EG 60L Tub &amp; Basket</t>
  </si>
  <si>
    <t>EG 75L Export Bag</t>
  </si>
  <si>
    <t>EG 40L FYM</t>
  </si>
  <si>
    <t>EG 100L Moss Peat</t>
  </si>
  <si>
    <t>EG 150L Moss Peat</t>
  </si>
  <si>
    <t>EG 200L Moss Peat</t>
  </si>
  <si>
    <t>EG 75L Decorative Bark</t>
  </si>
  <si>
    <t>EG 60L Decorative Bark</t>
  </si>
  <si>
    <t>EG 60L Composted Bark</t>
  </si>
  <si>
    <t>EG 36L 4 Plant Growbag</t>
  </si>
  <si>
    <t>EG 25L Topsoil</t>
  </si>
  <si>
    <t>EGPF 50L AP</t>
  </si>
  <si>
    <t>EGPF 50L AP JI</t>
  </si>
  <si>
    <t>EGPF F&amp;V</t>
  </si>
  <si>
    <t>BTN 50L AP</t>
  </si>
  <si>
    <t>BTN 56L T&amp;V</t>
  </si>
  <si>
    <t>GD 60L MP</t>
  </si>
  <si>
    <t>GD 60L MP JI</t>
  </si>
  <si>
    <t>GD 25L Top Soil</t>
  </si>
  <si>
    <t>GD 25L JI Seed</t>
  </si>
  <si>
    <t>GD 25L JI NO. 1</t>
  </si>
  <si>
    <t>GD 25L JI NO. 2</t>
  </si>
  <si>
    <t>GD 25L JI NO. 3</t>
  </si>
  <si>
    <t>OL 60L McLarens MP</t>
  </si>
  <si>
    <t>OL 50L Newstead MP</t>
  </si>
  <si>
    <t>OL 60L Abbeymoor Organic</t>
  </si>
  <si>
    <t>OL 40L Finchley MP</t>
  </si>
  <si>
    <t>OL 60L LBS MP</t>
  </si>
  <si>
    <t>OL 75L LBS Potting &amp; Bedding</t>
  </si>
  <si>
    <t>OL 60L Hildreths MP</t>
  </si>
  <si>
    <t>5013655215083</t>
  </si>
  <si>
    <t>Doff 10L Easy F-WM-J00-DOF-01-D</t>
  </si>
  <si>
    <t>Doff 10L MPC F-WL-J00-DOF-01-D</t>
  </si>
  <si>
    <t>5013655215090</t>
  </si>
  <si>
    <t>Description</t>
  </si>
  <si>
    <t>MF Description</t>
  </si>
  <si>
    <t>Lawn &amp; Turf Dressing</t>
  </si>
  <si>
    <t>EG Lawn &amp; Turf Dressing</t>
  </si>
  <si>
    <t>Aquatic Compost</t>
  </si>
  <si>
    <t>EG Aquatic</t>
  </si>
  <si>
    <t>Potting Compost</t>
  </si>
  <si>
    <t>EG 75L Potting</t>
  </si>
  <si>
    <t>880 X520 X 80</t>
  </si>
  <si>
    <t>EG 40L Ericaceous</t>
  </si>
  <si>
    <t>EG 75L Tub &amp; Basket</t>
  </si>
  <si>
    <t>Peat Free Ericaceous</t>
  </si>
  <si>
    <t>EGPF 50L Eric</t>
  </si>
  <si>
    <t>Peat Free Potting Compost</t>
  </si>
  <si>
    <t>EGPF 50L Pot</t>
  </si>
  <si>
    <t>Peat Free Tomato &amp; Veg Planter</t>
  </si>
  <si>
    <t>EGPF 56L T&amp;V</t>
  </si>
  <si>
    <t>Multi-Purpose 3 for £12</t>
  </si>
  <si>
    <t>EG 60L MP 3/12</t>
  </si>
  <si>
    <t>John Innes No.1</t>
  </si>
  <si>
    <t>John Innes No.2</t>
  </si>
  <si>
    <t>John Innes No.3</t>
  </si>
  <si>
    <t>Bag MFR</t>
  </si>
  <si>
    <t>Siva Group</t>
  </si>
  <si>
    <t>Trioplast</t>
  </si>
  <si>
    <t>Boran Mopack</t>
  </si>
  <si>
    <t>NDC</t>
  </si>
  <si>
    <t>Povoas</t>
  </si>
  <si>
    <t>1270 X 1040 X 1660 (H)</t>
  </si>
  <si>
    <t>36g</t>
  </si>
  <si>
    <t>Hoodling Weight Per Pallet (kgs)</t>
  </si>
  <si>
    <t>1kg</t>
  </si>
  <si>
    <t>40g</t>
  </si>
  <si>
    <t>48g</t>
  </si>
  <si>
    <t>60g</t>
  </si>
  <si>
    <t>68g</t>
  </si>
  <si>
    <t>92g</t>
  </si>
  <si>
    <t>132g</t>
  </si>
  <si>
    <t>64g</t>
  </si>
  <si>
    <t>58G</t>
  </si>
  <si>
    <t>54g</t>
  </si>
  <si>
    <t>0.75kg</t>
  </si>
  <si>
    <t>0.65kg</t>
  </si>
  <si>
    <t>88g</t>
  </si>
  <si>
    <t>1120 X 850 X 1150 (H)</t>
  </si>
  <si>
    <t>0.6kg</t>
  </si>
  <si>
    <t>EG 60L Potting Pro</t>
  </si>
  <si>
    <t>0.72kg</t>
  </si>
  <si>
    <t>0.78kg</t>
  </si>
  <si>
    <t>Weight Per Bag (Empty) (g)</t>
  </si>
  <si>
    <t>EGPF 20L AP</t>
  </si>
  <si>
    <t>0.60kg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</si>
</sst>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FDFF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Q64"/>
  <sheetViews>
    <sheetView tabSelected="1" workbookViewId="0">
      <selection activeCell="I32" sqref="I32"/>
    </sheetView>
  </sheetViews>
  <sheetFormatPr defaultColWidth="8.88671875" defaultRowHeight="13.8" x14ac:dyDescent="0.3"/>
  <cols>
    <col min="1" max="1" width="8.109375" style="1" bestFit="1" customWidth="1"/>
    <col min="2" max="2" width="28.5546875" style="1" bestFit="1" customWidth="1"/>
    <col min="3" max="3" width="13.109375" style="1" customWidth="1"/>
    <col min="4" max="4" width="13" style="1" bestFit="1" customWidth="1"/>
    <col min="5" max="5" width="11" style="1" bestFit="1" customWidth="1"/>
    <col min="6" max="6" width="29.33203125" style="1" customWidth="1"/>
    <col min="7" max="7" width="12.44140625" style="1" bestFit="1" customWidth="1"/>
    <col min="8" max="8" width="28.44140625" style="1" bestFit="1" customWidth="1"/>
    <col min="9" max="9" width="16.44140625" style="1" customWidth="1"/>
    <col min="10" max="10" width="22.109375" style="1" bestFit="1" customWidth="1"/>
    <col min="11" max="11" width="27.33203125" style="1" bestFit="1" customWidth="1"/>
    <col min="12" max="12" width="18.109375" style="1" customWidth="1"/>
    <col min="13" max="13" width="19.5546875" style="1" customWidth="1"/>
    <col min="14" max="14" width="16.44140625" style="1" customWidth="1"/>
    <col min="15" max="15" width="22.5546875" style="1" customWidth="1"/>
    <col min="16" max="16" width="16.33203125" style="1" customWidth="1"/>
    <col min="17" max="17" width="19.6640625" style="1" customWidth="1"/>
    <col min="18" max="16384" width="8.88671875" style="1"/>
  </cols>
  <sheetData>
    <row r="1" spans="1:17" ht="15" customHeight="1" x14ac:dyDescent="0.3">
      <c r="A1" s="6"/>
      <c r="B1" s="7" t="s">
        <v>35</v>
      </c>
      <c r="C1" s="7"/>
      <c r="D1" s="7"/>
      <c r="E1" s="7"/>
      <c r="F1" s="7"/>
      <c r="G1" s="7"/>
      <c r="H1" s="7"/>
      <c r="J1" s="7"/>
      <c r="K1" s="7"/>
      <c r="L1" s="6"/>
      <c r="M1" s="6"/>
      <c r="N1" s="6"/>
      <c r="O1" s="6"/>
      <c r="P1" s="6"/>
      <c r="Q1" s="6"/>
    </row>
    <row r="2" spans="1:17" ht="15" customHeight="1" x14ac:dyDescent="0.3">
      <c r="A2" s="2" t="s">
        <v>92</v>
      </c>
      <c r="B2" s="2" t="s">
        <v>6</v>
      </c>
      <c r="C2" s="2" t="s">
        <v>67</v>
      </c>
      <c r="D2" s="2" t="s">
        <v>69</v>
      </c>
      <c r="E2" s="2" t="s">
        <v>68</v>
      </c>
      <c r="F2" s="2" t="s">
        <v>142</v>
      </c>
      <c r="G2" s="2" t="s">
        <v>164</v>
      </c>
      <c r="H2" s="2" t="s">
        <v>143</v>
      </c>
      <c r="I2" s="2" t="s">
        <v>0</v>
      </c>
      <c r="J2" s="2" t="s">
        <v>191</v>
      </c>
      <c r="K2" s="2" t="s">
        <v>172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66</v>
      </c>
      <c r="Q2" s="2" t="s">
        <v>65</v>
      </c>
    </row>
    <row r="3" spans="1:17" ht="15" customHeight="1" x14ac:dyDescent="0.3">
      <c r="A3" s="3">
        <v>1</v>
      </c>
      <c r="B3" s="3" t="s">
        <v>1</v>
      </c>
      <c r="C3" s="3">
        <v>300</v>
      </c>
      <c r="D3" s="3">
        <v>10</v>
      </c>
      <c r="E3" s="3">
        <v>30</v>
      </c>
      <c r="F3" s="3" t="s">
        <v>5</v>
      </c>
      <c r="G3" s="3" t="s">
        <v>165</v>
      </c>
      <c r="H3" s="3" t="s">
        <v>95</v>
      </c>
      <c r="I3" s="4">
        <v>5023421409639</v>
      </c>
      <c r="J3" s="4" t="s">
        <v>171</v>
      </c>
      <c r="K3" s="4" t="s">
        <v>173</v>
      </c>
      <c r="L3" s="3">
        <v>3.05</v>
      </c>
      <c r="M3" s="3">
        <f t="shared" ref="M3:M33" si="0">SUM(L3*C3)</f>
        <v>915</v>
      </c>
      <c r="N3" s="3">
        <v>25</v>
      </c>
      <c r="O3" s="3">
        <f t="shared" ref="O3:O33" si="1">SUM(M3+N3)</f>
        <v>940</v>
      </c>
      <c r="P3" s="3" t="s">
        <v>45</v>
      </c>
      <c r="Q3" s="3" t="s">
        <v>80</v>
      </c>
    </row>
    <row r="4" spans="1:17" ht="15" customHeight="1" x14ac:dyDescent="0.3">
      <c r="A4" s="3">
        <v>2</v>
      </c>
      <c r="B4" s="3" t="s">
        <v>2</v>
      </c>
      <c r="C4" s="3">
        <v>175</v>
      </c>
      <c r="D4" s="3">
        <v>7</v>
      </c>
      <c r="E4" s="3">
        <v>25</v>
      </c>
      <c r="F4" s="3" t="s">
        <v>5</v>
      </c>
      <c r="G4" s="3" t="s">
        <v>166</v>
      </c>
      <c r="H4" s="3" t="s">
        <v>96</v>
      </c>
      <c r="I4" s="4">
        <v>5023421409509</v>
      </c>
      <c r="J4" s="4" t="s">
        <v>174</v>
      </c>
      <c r="K4" s="4" t="s">
        <v>173</v>
      </c>
      <c r="L4" s="3">
        <v>6.35</v>
      </c>
      <c r="M4" s="3">
        <f t="shared" si="0"/>
        <v>1111.25</v>
      </c>
      <c r="N4" s="3">
        <v>25</v>
      </c>
      <c r="O4" s="3">
        <f t="shared" si="1"/>
        <v>1136.25</v>
      </c>
      <c r="P4" s="3" t="s">
        <v>46</v>
      </c>
      <c r="Q4" s="3" t="s">
        <v>170</v>
      </c>
    </row>
    <row r="5" spans="1:17" ht="15" customHeight="1" x14ac:dyDescent="0.3">
      <c r="A5" s="3">
        <v>3</v>
      </c>
      <c r="B5" s="3" t="s">
        <v>3</v>
      </c>
      <c r="C5" s="3">
        <v>100</v>
      </c>
      <c r="D5" s="3">
        <v>5</v>
      </c>
      <c r="E5" s="3">
        <v>20</v>
      </c>
      <c r="F5" s="3" t="s">
        <v>5</v>
      </c>
      <c r="G5" s="3" t="s">
        <v>167</v>
      </c>
      <c r="H5" s="3" t="s">
        <v>97</v>
      </c>
      <c r="I5" s="4">
        <v>5023421409554</v>
      </c>
      <c r="J5" s="4" t="s">
        <v>182</v>
      </c>
      <c r="K5" s="4" t="s">
        <v>183</v>
      </c>
      <c r="L5" s="3">
        <v>11</v>
      </c>
      <c r="M5" s="3">
        <f t="shared" si="0"/>
        <v>1100</v>
      </c>
      <c r="N5" s="3">
        <v>25</v>
      </c>
      <c r="O5" s="3">
        <f t="shared" si="1"/>
        <v>1125</v>
      </c>
      <c r="P5" s="3" t="s">
        <v>47</v>
      </c>
      <c r="Q5" s="3" t="s">
        <v>73</v>
      </c>
    </row>
    <row r="6" spans="1:17" ht="15" customHeight="1" x14ac:dyDescent="0.3">
      <c r="A6" s="3">
        <v>4</v>
      </c>
      <c r="B6" s="3" t="s">
        <v>22</v>
      </c>
      <c r="C6" s="3">
        <v>90</v>
      </c>
      <c r="D6" s="3">
        <v>5</v>
      </c>
      <c r="E6" s="3">
        <v>18</v>
      </c>
      <c r="F6" s="3" t="s">
        <v>48</v>
      </c>
      <c r="G6" s="3" t="s">
        <v>165</v>
      </c>
      <c r="H6" s="3" t="s">
        <v>102</v>
      </c>
      <c r="I6" s="4">
        <v>604565380586</v>
      </c>
      <c r="J6" s="4" t="s">
        <v>176</v>
      </c>
      <c r="K6" s="4" t="s">
        <v>183</v>
      </c>
      <c r="L6" s="3">
        <v>12.3</v>
      </c>
      <c r="M6" s="3">
        <f t="shared" si="0"/>
        <v>1107</v>
      </c>
      <c r="N6" s="3">
        <v>25</v>
      </c>
      <c r="O6" s="3">
        <f t="shared" si="1"/>
        <v>1132</v>
      </c>
      <c r="P6" s="3" t="s">
        <v>51</v>
      </c>
      <c r="Q6" s="3" t="s">
        <v>72</v>
      </c>
    </row>
    <row r="7" spans="1:17" ht="15" customHeight="1" x14ac:dyDescent="0.3">
      <c r="A7" s="3">
        <v>5</v>
      </c>
      <c r="B7" s="3" t="s">
        <v>4</v>
      </c>
      <c r="C7" s="3">
        <v>80</v>
      </c>
      <c r="D7" s="3">
        <v>5</v>
      </c>
      <c r="E7" s="3">
        <v>16</v>
      </c>
      <c r="F7" s="3" t="s">
        <v>5</v>
      </c>
      <c r="G7" s="3" t="s">
        <v>165</v>
      </c>
      <c r="H7" s="3" t="s">
        <v>98</v>
      </c>
      <c r="I7" s="4">
        <v>5023421409691</v>
      </c>
      <c r="J7" s="4" t="s">
        <v>177</v>
      </c>
      <c r="K7" s="4" t="s">
        <v>189</v>
      </c>
      <c r="L7" s="3">
        <v>14</v>
      </c>
      <c r="M7" s="3">
        <f t="shared" si="0"/>
        <v>1120</v>
      </c>
      <c r="N7" s="3">
        <v>25</v>
      </c>
      <c r="O7" s="3">
        <f t="shared" si="1"/>
        <v>1145</v>
      </c>
      <c r="P7" s="3" t="s">
        <v>52</v>
      </c>
      <c r="Q7" s="3" t="s">
        <v>81</v>
      </c>
    </row>
    <row r="8" spans="1:17" ht="15" customHeight="1" x14ac:dyDescent="0.3">
      <c r="A8" s="3">
        <v>52</v>
      </c>
      <c r="B8" s="3" t="s">
        <v>4</v>
      </c>
      <c r="C8" s="3">
        <v>80</v>
      </c>
      <c r="D8" s="3">
        <v>5</v>
      </c>
      <c r="E8" s="3">
        <v>16</v>
      </c>
      <c r="F8" s="3" t="s">
        <v>159</v>
      </c>
      <c r="G8" s="3"/>
      <c r="H8" s="3" t="s">
        <v>160</v>
      </c>
      <c r="I8" s="4">
        <v>5023421409684</v>
      </c>
      <c r="J8" s="4" t="s">
        <v>177</v>
      </c>
      <c r="K8" s="4" t="s">
        <v>189</v>
      </c>
      <c r="L8" s="3">
        <v>14</v>
      </c>
      <c r="M8" s="3">
        <f t="shared" si="0"/>
        <v>1120</v>
      </c>
      <c r="N8" s="3">
        <v>25</v>
      </c>
      <c r="O8" s="3">
        <f t="shared" si="1"/>
        <v>1145</v>
      </c>
      <c r="P8" s="3" t="s">
        <v>52</v>
      </c>
      <c r="Q8" s="3" t="s">
        <v>81</v>
      </c>
    </row>
    <row r="9" spans="1:17" ht="15" customHeight="1" x14ac:dyDescent="0.3">
      <c r="A9" s="3">
        <v>6</v>
      </c>
      <c r="B9" s="3" t="s">
        <v>12</v>
      </c>
      <c r="C9" s="3">
        <v>57</v>
      </c>
      <c r="D9" s="3">
        <v>3</v>
      </c>
      <c r="E9" s="3">
        <v>19</v>
      </c>
      <c r="F9" s="3" t="s">
        <v>5</v>
      </c>
      <c r="G9" s="3" t="s">
        <v>166</v>
      </c>
      <c r="H9" s="3" t="s">
        <v>99</v>
      </c>
      <c r="I9" s="4">
        <v>5023421409622</v>
      </c>
      <c r="J9" s="4" t="s">
        <v>178</v>
      </c>
      <c r="K9" s="4" t="s">
        <v>183</v>
      </c>
      <c r="L9" s="3">
        <v>21</v>
      </c>
      <c r="M9" s="3">
        <f t="shared" si="0"/>
        <v>1197</v>
      </c>
      <c r="N9" s="3">
        <v>25</v>
      </c>
      <c r="O9" s="3">
        <f t="shared" si="1"/>
        <v>1222</v>
      </c>
      <c r="P9" s="3" t="s">
        <v>53</v>
      </c>
      <c r="Q9" s="3" t="s">
        <v>77</v>
      </c>
    </row>
    <row r="10" spans="1:17" ht="15" customHeight="1" x14ac:dyDescent="0.3">
      <c r="A10" s="3">
        <v>7</v>
      </c>
      <c r="B10" s="3" t="s">
        <v>13</v>
      </c>
      <c r="C10" s="3">
        <v>45</v>
      </c>
      <c r="D10" s="3">
        <v>5</v>
      </c>
      <c r="E10" s="3">
        <v>9</v>
      </c>
      <c r="F10" s="3" t="s">
        <v>15</v>
      </c>
      <c r="G10" s="3" t="s">
        <v>166</v>
      </c>
      <c r="H10" s="3" t="s">
        <v>100</v>
      </c>
      <c r="I10" s="4">
        <v>5023421000041</v>
      </c>
      <c r="J10" s="4" t="s">
        <v>179</v>
      </c>
      <c r="K10" s="4" t="s">
        <v>183</v>
      </c>
      <c r="L10" s="3">
        <v>26</v>
      </c>
      <c r="M10" s="3">
        <f t="shared" si="0"/>
        <v>1170</v>
      </c>
      <c r="N10" s="3">
        <v>25</v>
      </c>
      <c r="O10" s="3">
        <f t="shared" si="1"/>
        <v>1195</v>
      </c>
      <c r="P10" s="3" t="s">
        <v>54</v>
      </c>
      <c r="Q10" s="3" t="s">
        <v>88</v>
      </c>
    </row>
    <row r="11" spans="1:17" ht="15" customHeight="1" x14ac:dyDescent="0.3">
      <c r="A11" s="3">
        <v>8</v>
      </c>
      <c r="B11" s="3" t="s">
        <v>14</v>
      </c>
      <c r="C11" s="3"/>
      <c r="D11" s="3"/>
      <c r="E11" s="3"/>
      <c r="F11" s="3" t="s">
        <v>15</v>
      </c>
      <c r="G11" s="3"/>
      <c r="H11" s="3" t="s">
        <v>101</v>
      </c>
      <c r="I11" s="4">
        <v>5023421000065</v>
      </c>
      <c r="J11" s="4"/>
      <c r="K11" s="4"/>
      <c r="L11" s="3"/>
      <c r="M11" s="3">
        <f t="shared" si="0"/>
        <v>0</v>
      </c>
      <c r="N11" s="3">
        <v>25</v>
      </c>
      <c r="O11" s="3">
        <f t="shared" si="1"/>
        <v>25</v>
      </c>
      <c r="P11" s="3"/>
      <c r="Q11" s="3"/>
    </row>
    <row r="12" spans="1:17" s="12" customFormat="1" ht="15" customHeight="1" x14ac:dyDescent="0.3">
      <c r="A12" s="10">
        <v>9</v>
      </c>
      <c r="B12" s="10" t="s">
        <v>4</v>
      </c>
      <c r="C12" s="10">
        <v>70</v>
      </c>
      <c r="D12" s="10">
        <v>5</v>
      </c>
      <c r="E12" s="10">
        <v>14</v>
      </c>
      <c r="F12" s="10" t="s">
        <v>11</v>
      </c>
      <c r="G12" s="10" t="s">
        <v>168</v>
      </c>
      <c r="H12" s="10" t="s">
        <v>103</v>
      </c>
      <c r="I12" s="11">
        <v>5023421409646</v>
      </c>
      <c r="J12" s="11" t="s">
        <v>177</v>
      </c>
      <c r="K12" s="4" t="s">
        <v>184</v>
      </c>
      <c r="L12" s="10">
        <v>14.5</v>
      </c>
      <c r="M12" s="10">
        <f t="shared" si="0"/>
        <v>1015</v>
      </c>
      <c r="N12" s="10">
        <v>25</v>
      </c>
      <c r="O12" s="10">
        <f t="shared" si="1"/>
        <v>1040</v>
      </c>
      <c r="P12" s="10" t="s">
        <v>52</v>
      </c>
      <c r="Q12" s="10" t="s">
        <v>82</v>
      </c>
    </row>
    <row r="13" spans="1:17" ht="15" customHeight="1" x14ac:dyDescent="0.3">
      <c r="A13" s="3">
        <v>10</v>
      </c>
      <c r="B13" s="3" t="s">
        <v>4</v>
      </c>
      <c r="C13" s="3">
        <v>80</v>
      </c>
      <c r="D13" s="3">
        <v>5</v>
      </c>
      <c r="E13" s="3">
        <v>16</v>
      </c>
      <c r="F13" s="3" t="s">
        <v>49</v>
      </c>
      <c r="G13" s="3" t="s">
        <v>168</v>
      </c>
      <c r="H13" s="3" t="s">
        <v>105</v>
      </c>
      <c r="I13" s="4">
        <v>604565380593</v>
      </c>
      <c r="J13" s="4" t="s">
        <v>177</v>
      </c>
      <c r="K13" s="4" t="s">
        <v>189</v>
      </c>
      <c r="L13" s="3">
        <v>14</v>
      </c>
      <c r="M13" s="3">
        <f t="shared" si="0"/>
        <v>1120</v>
      </c>
      <c r="N13" s="3">
        <v>25</v>
      </c>
      <c r="O13" s="3">
        <f t="shared" si="1"/>
        <v>1145</v>
      </c>
      <c r="P13" s="3" t="s">
        <v>52</v>
      </c>
      <c r="Q13" s="3" t="s">
        <v>81</v>
      </c>
    </row>
    <row r="14" spans="1:17" ht="15" customHeight="1" x14ac:dyDescent="0.3">
      <c r="A14" s="3">
        <v>11</v>
      </c>
      <c r="B14" s="3" t="s">
        <v>4</v>
      </c>
      <c r="C14" s="3">
        <v>80</v>
      </c>
      <c r="D14" s="3">
        <v>5</v>
      </c>
      <c r="E14" s="3">
        <v>16</v>
      </c>
      <c r="F14" s="3" t="s">
        <v>148</v>
      </c>
      <c r="G14" s="3" t="s">
        <v>168</v>
      </c>
      <c r="H14" s="3" t="s">
        <v>104</v>
      </c>
      <c r="I14" s="5">
        <v>769503877587</v>
      </c>
      <c r="J14" s="5" t="s">
        <v>177</v>
      </c>
      <c r="K14" s="4" t="s">
        <v>189</v>
      </c>
      <c r="L14" s="3"/>
      <c r="M14" s="3">
        <f t="shared" si="0"/>
        <v>0</v>
      </c>
      <c r="N14" s="3">
        <v>25</v>
      </c>
      <c r="O14" s="3">
        <f t="shared" si="1"/>
        <v>25</v>
      </c>
      <c r="P14" s="3" t="s">
        <v>58</v>
      </c>
      <c r="Q14" s="3" t="s">
        <v>81</v>
      </c>
    </row>
    <row r="15" spans="1:17" ht="15" customHeight="1" x14ac:dyDescent="0.3">
      <c r="A15" s="3">
        <v>54</v>
      </c>
      <c r="B15" s="3" t="s">
        <v>12</v>
      </c>
      <c r="C15" s="3">
        <v>57</v>
      </c>
      <c r="D15" s="3">
        <v>3</v>
      </c>
      <c r="E15" s="3">
        <v>19</v>
      </c>
      <c r="F15" s="3" t="s">
        <v>148</v>
      </c>
      <c r="G15" s="3"/>
      <c r="H15" s="3" t="s">
        <v>149</v>
      </c>
      <c r="I15" s="5">
        <v>5023421409561</v>
      </c>
      <c r="J15" s="5" t="s">
        <v>178</v>
      </c>
      <c r="K15" s="4" t="s">
        <v>183</v>
      </c>
      <c r="L15" s="3">
        <v>21</v>
      </c>
      <c r="M15" s="3">
        <f t="shared" si="0"/>
        <v>1197</v>
      </c>
      <c r="N15" s="3">
        <v>25</v>
      </c>
      <c r="O15" s="3">
        <f t="shared" si="1"/>
        <v>1222</v>
      </c>
      <c r="P15" s="3" t="s">
        <v>150</v>
      </c>
      <c r="Q15" s="3" t="s">
        <v>77</v>
      </c>
    </row>
    <row r="16" spans="1:17" ht="15" customHeight="1" x14ac:dyDescent="0.3">
      <c r="A16" s="3">
        <v>12</v>
      </c>
      <c r="B16" s="3" t="s">
        <v>4</v>
      </c>
      <c r="C16" s="3">
        <v>80</v>
      </c>
      <c r="D16" s="3">
        <v>5</v>
      </c>
      <c r="E16" s="3">
        <v>16</v>
      </c>
      <c r="F16" s="3" t="s">
        <v>24</v>
      </c>
      <c r="G16" s="3" t="s">
        <v>168</v>
      </c>
      <c r="H16" s="3" t="s">
        <v>188</v>
      </c>
      <c r="I16" s="5">
        <v>5023421482373</v>
      </c>
      <c r="J16" s="5" t="s">
        <v>177</v>
      </c>
      <c r="K16" s="4" t="s">
        <v>189</v>
      </c>
      <c r="L16" s="3">
        <v>14</v>
      </c>
      <c r="M16" s="3">
        <f t="shared" si="0"/>
        <v>1120</v>
      </c>
      <c r="N16" s="3">
        <v>25</v>
      </c>
      <c r="O16" s="3">
        <f t="shared" si="1"/>
        <v>1145</v>
      </c>
      <c r="P16" s="3" t="s">
        <v>52</v>
      </c>
      <c r="Q16" s="3" t="s">
        <v>81</v>
      </c>
    </row>
    <row r="17" spans="1:17" ht="15" customHeight="1" x14ac:dyDescent="0.3">
      <c r="A17" s="3">
        <v>53</v>
      </c>
      <c r="B17" s="3" t="s">
        <v>3</v>
      </c>
      <c r="C17" s="3">
        <v>100</v>
      </c>
      <c r="D17" s="3">
        <v>5</v>
      </c>
      <c r="E17" s="3">
        <v>20</v>
      </c>
      <c r="F17" s="3" t="s">
        <v>7</v>
      </c>
      <c r="G17" s="3"/>
      <c r="H17" s="3" t="s">
        <v>151</v>
      </c>
      <c r="I17" s="5">
        <v>769503877594</v>
      </c>
      <c r="J17" s="5" t="s">
        <v>182</v>
      </c>
      <c r="K17" s="4" t="s">
        <v>183</v>
      </c>
      <c r="L17" s="3">
        <v>11</v>
      </c>
      <c r="M17" s="3">
        <f t="shared" si="0"/>
        <v>1100</v>
      </c>
      <c r="N17" s="3">
        <v>25</v>
      </c>
      <c r="O17" s="3">
        <f t="shared" si="1"/>
        <v>1125</v>
      </c>
      <c r="P17" s="3" t="s">
        <v>47</v>
      </c>
      <c r="Q17" s="3" t="s">
        <v>73</v>
      </c>
    </row>
    <row r="18" spans="1:17" ht="15" customHeight="1" x14ac:dyDescent="0.3">
      <c r="A18" s="3">
        <v>13</v>
      </c>
      <c r="B18" s="3" t="s">
        <v>4</v>
      </c>
      <c r="C18" s="3">
        <v>80</v>
      </c>
      <c r="D18" s="3">
        <v>5</v>
      </c>
      <c r="E18" s="3">
        <v>16</v>
      </c>
      <c r="F18" s="3" t="s">
        <v>7</v>
      </c>
      <c r="G18" s="3" t="s">
        <v>168</v>
      </c>
      <c r="H18" s="3" t="s">
        <v>107</v>
      </c>
      <c r="I18" s="4">
        <v>5023421000034</v>
      </c>
      <c r="J18" s="4" t="s">
        <v>177</v>
      </c>
      <c r="K18" s="4" t="s">
        <v>189</v>
      </c>
      <c r="L18" s="3">
        <v>13.5</v>
      </c>
      <c r="M18" s="3">
        <f t="shared" si="0"/>
        <v>1080</v>
      </c>
      <c r="N18" s="3">
        <v>25</v>
      </c>
      <c r="O18" s="3">
        <f t="shared" si="1"/>
        <v>1105</v>
      </c>
      <c r="P18" s="3" t="s">
        <v>52</v>
      </c>
      <c r="Q18" s="3" t="s">
        <v>81</v>
      </c>
    </row>
    <row r="19" spans="1:17" ht="15" customHeight="1" x14ac:dyDescent="0.3">
      <c r="A19" s="3">
        <v>14</v>
      </c>
      <c r="B19" s="3" t="s">
        <v>4</v>
      </c>
      <c r="C19" s="3">
        <v>80</v>
      </c>
      <c r="D19" s="3">
        <v>5</v>
      </c>
      <c r="E19" s="3">
        <v>16</v>
      </c>
      <c r="F19" s="3" t="s">
        <v>25</v>
      </c>
      <c r="G19" s="3" t="s">
        <v>168</v>
      </c>
      <c r="H19" s="3" t="s">
        <v>108</v>
      </c>
      <c r="I19" s="5">
        <v>5023421000010</v>
      </c>
      <c r="J19" s="5" t="s">
        <v>177</v>
      </c>
      <c r="K19" s="4" t="s">
        <v>189</v>
      </c>
      <c r="L19" s="3">
        <v>14</v>
      </c>
      <c r="M19" s="3">
        <f t="shared" si="0"/>
        <v>1120</v>
      </c>
      <c r="N19" s="3">
        <v>25</v>
      </c>
      <c r="O19" s="3">
        <f t="shared" si="1"/>
        <v>1145</v>
      </c>
      <c r="P19" s="3" t="s">
        <v>52</v>
      </c>
      <c r="Q19" s="3" t="s">
        <v>81</v>
      </c>
    </row>
    <row r="20" spans="1:17" ht="15" customHeight="1" x14ac:dyDescent="0.3">
      <c r="A20" s="3">
        <v>55</v>
      </c>
      <c r="B20" s="3" t="s">
        <v>12</v>
      </c>
      <c r="C20" s="3">
        <v>57</v>
      </c>
      <c r="D20" s="3">
        <v>3</v>
      </c>
      <c r="E20" s="3">
        <v>19</v>
      </c>
      <c r="F20" s="3" t="s">
        <v>25</v>
      </c>
      <c r="G20" s="3"/>
      <c r="H20" s="3" t="s">
        <v>152</v>
      </c>
      <c r="I20" s="5">
        <v>5023421000010</v>
      </c>
      <c r="J20" s="5" t="s">
        <v>178</v>
      </c>
      <c r="K20" s="4" t="s">
        <v>183</v>
      </c>
      <c r="L20" s="3">
        <v>21</v>
      </c>
      <c r="M20" s="3">
        <f t="shared" si="0"/>
        <v>1197</v>
      </c>
      <c r="N20" s="3">
        <v>25</v>
      </c>
      <c r="O20" s="3">
        <f t="shared" si="1"/>
        <v>1222</v>
      </c>
      <c r="P20" s="3" t="s">
        <v>53</v>
      </c>
      <c r="Q20" s="3" t="s">
        <v>77</v>
      </c>
    </row>
    <row r="21" spans="1:17" ht="15" customHeight="1" x14ac:dyDescent="0.3">
      <c r="A21" s="3">
        <v>15</v>
      </c>
      <c r="B21" s="3" t="s">
        <v>12</v>
      </c>
      <c r="C21" s="3">
        <v>63</v>
      </c>
      <c r="D21" s="3">
        <v>3</v>
      </c>
      <c r="E21" s="3">
        <v>21</v>
      </c>
      <c r="F21" s="3" t="s">
        <v>50</v>
      </c>
      <c r="G21" s="3" t="s">
        <v>166</v>
      </c>
      <c r="H21" s="3" t="s">
        <v>109</v>
      </c>
      <c r="I21" s="4">
        <v>604565380555</v>
      </c>
      <c r="J21" s="4" t="s">
        <v>185</v>
      </c>
      <c r="K21" s="4" t="s">
        <v>190</v>
      </c>
      <c r="L21" s="3">
        <v>21</v>
      </c>
      <c r="M21" s="3">
        <f t="shared" si="0"/>
        <v>1323</v>
      </c>
      <c r="N21" s="3">
        <v>25</v>
      </c>
      <c r="O21" s="3">
        <f t="shared" si="1"/>
        <v>1348</v>
      </c>
      <c r="P21" s="3" t="s">
        <v>53</v>
      </c>
      <c r="Q21" s="3" t="s">
        <v>83</v>
      </c>
    </row>
    <row r="22" spans="1:17" ht="15" customHeight="1" x14ac:dyDescent="0.3">
      <c r="A22" s="3">
        <v>16</v>
      </c>
      <c r="B22" s="3" t="s">
        <v>3</v>
      </c>
      <c r="C22" s="3">
        <v>70</v>
      </c>
      <c r="D22" s="3">
        <v>5</v>
      </c>
      <c r="E22" s="3">
        <v>14</v>
      </c>
      <c r="F22" s="3" t="s">
        <v>16</v>
      </c>
      <c r="G22" s="3" t="s">
        <v>165</v>
      </c>
      <c r="H22" s="3" t="s">
        <v>110</v>
      </c>
      <c r="I22" s="4">
        <v>5023421409578</v>
      </c>
      <c r="J22" s="4" t="s">
        <v>182</v>
      </c>
      <c r="K22" s="4" t="s">
        <v>187</v>
      </c>
      <c r="L22" s="3">
        <v>17</v>
      </c>
      <c r="M22" s="3">
        <f t="shared" si="0"/>
        <v>1190</v>
      </c>
      <c r="N22" s="3">
        <v>25</v>
      </c>
      <c r="O22" s="3">
        <f t="shared" si="1"/>
        <v>1215</v>
      </c>
      <c r="P22" s="3" t="s">
        <v>55</v>
      </c>
      <c r="Q22" s="3" t="s">
        <v>78</v>
      </c>
    </row>
    <row r="23" spans="1:17" ht="15" customHeight="1" x14ac:dyDescent="0.3">
      <c r="A23" s="3">
        <v>17</v>
      </c>
      <c r="B23" s="3" t="s">
        <v>13</v>
      </c>
      <c r="C23" s="3">
        <v>40</v>
      </c>
      <c r="D23" s="3">
        <v>5</v>
      </c>
      <c r="E23" s="3">
        <v>9</v>
      </c>
      <c r="F23" s="3" t="s">
        <v>8</v>
      </c>
      <c r="G23" s="3" t="s">
        <v>166</v>
      </c>
      <c r="H23" s="3" t="s">
        <v>111</v>
      </c>
      <c r="I23" s="4">
        <v>5023421000126</v>
      </c>
      <c r="J23" s="4" t="s">
        <v>179</v>
      </c>
      <c r="K23" s="4" t="s">
        <v>183</v>
      </c>
      <c r="L23" s="3">
        <v>25</v>
      </c>
      <c r="M23" s="3">
        <f t="shared" si="0"/>
        <v>1000</v>
      </c>
      <c r="N23" s="3">
        <v>25</v>
      </c>
      <c r="O23" s="3">
        <f t="shared" si="1"/>
        <v>1025</v>
      </c>
      <c r="P23" s="3" t="s">
        <v>56</v>
      </c>
      <c r="Q23" s="3" t="s">
        <v>88</v>
      </c>
    </row>
    <row r="24" spans="1:17" ht="15" customHeight="1" x14ac:dyDescent="0.3">
      <c r="A24" s="3">
        <v>18</v>
      </c>
      <c r="B24" s="3" t="s">
        <v>17</v>
      </c>
      <c r="C24" s="3"/>
      <c r="D24" s="3"/>
      <c r="E24" s="3"/>
      <c r="F24" s="3" t="s">
        <v>8</v>
      </c>
      <c r="G24" s="3"/>
      <c r="H24" s="3" t="s">
        <v>112</v>
      </c>
      <c r="I24" s="4">
        <v>5023421000072</v>
      </c>
      <c r="J24" s="4"/>
      <c r="K24" s="4"/>
      <c r="L24" s="3"/>
      <c r="M24" s="3">
        <f t="shared" si="0"/>
        <v>0</v>
      </c>
      <c r="N24" s="3">
        <v>25</v>
      </c>
      <c r="O24" s="3">
        <f t="shared" si="1"/>
        <v>25</v>
      </c>
      <c r="P24" s="3"/>
      <c r="Q24" s="3"/>
    </row>
    <row r="25" spans="1:17" ht="15" customHeight="1" x14ac:dyDescent="0.3">
      <c r="A25" s="3">
        <v>19</v>
      </c>
      <c r="B25" s="3" t="s">
        <v>18</v>
      </c>
      <c r="C25" s="3">
        <v>20</v>
      </c>
      <c r="D25" s="3">
        <v>4</v>
      </c>
      <c r="E25" s="3">
        <v>5</v>
      </c>
      <c r="F25" s="3" t="s">
        <v>8</v>
      </c>
      <c r="G25" s="3" t="s">
        <v>166</v>
      </c>
      <c r="H25" s="3" t="s">
        <v>113</v>
      </c>
      <c r="I25" s="4">
        <v>5023421000096</v>
      </c>
      <c r="J25" s="4"/>
      <c r="K25" s="4"/>
      <c r="L25" s="3"/>
      <c r="M25" s="3">
        <f t="shared" si="0"/>
        <v>0</v>
      </c>
      <c r="N25" s="3">
        <v>25</v>
      </c>
      <c r="O25" s="3">
        <f t="shared" si="1"/>
        <v>25</v>
      </c>
      <c r="P25" s="3"/>
      <c r="Q25" s="3"/>
    </row>
    <row r="26" spans="1:17" ht="15" customHeight="1" x14ac:dyDescent="0.3">
      <c r="A26" s="3">
        <v>20</v>
      </c>
      <c r="B26" s="3" t="s">
        <v>12</v>
      </c>
      <c r="C26" s="3">
        <v>51</v>
      </c>
      <c r="D26" s="3">
        <v>3</v>
      </c>
      <c r="E26" s="3">
        <v>17</v>
      </c>
      <c r="F26" s="3" t="s">
        <v>19</v>
      </c>
      <c r="G26" s="3" t="s">
        <v>166</v>
      </c>
      <c r="H26" s="3" t="s">
        <v>114</v>
      </c>
      <c r="I26" s="5">
        <v>5023421409523</v>
      </c>
      <c r="J26" s="5" t="s">
        <v>178</v>
      </c>
      <c r="K26" s="4" t="s">
        <v>189</v>
      </c>
      <c r="L26" s="3">
        <v>18</v>
      </c>
      <c r="M26" s="3">
        <f t="shared" si="0"/>
        <v>918</v>
      </c>
      <c r="N26" s="3">
        <v>25</v>
      </c>
      <c r="O26" s="3">
        <f t="shared" si="1"/>
        <v>943</v>
      </c>
      <c r="P26" s="3" t="s">
        <v>57</v>
      </c>
      <c r="Q26" s="3" t="s">
        <v>79</v>
      </c>
    </row>
    <row r="27" spans="1:17" ht="15" customHeight="1" x14ac:dyDescent="0.3">
      <c r="A27" s="3">
        <v>21</v>
      </c>
      <c r="B27" s="3" t="s">
        <v>4</v>
      </c>
      <c r="C27" s="3">
        <v>70</v>
      </c>
      <c r="D27" s="3">
        <v>5</v>
      </c>
      <c r="E27" s="3">
        <v>14</v>
      </c>
      <c r="F27" s="3" t="s">
        <v>19</v>
      </c>
      <c r="G27" s="3" t="s">
        <v>168</v>
      </c>
      <c r="H27" s="3" t="s">
        <v>115</v>
      </c>
      <c r="I27" s="5">
        <v>725765023209</v>
      </c>
      <c r="J27" s="5" t="s">
        <v>177</v>
      </c>
      <c r="K27" s="4" t="s">
        <v>184</v>
      </c>
      <c r="L27" s="3">
        <v>16</v>
      </c>
      <c r="M27" s="3">
        <f t="shared" si="0"/>
        <v>1120</v>
      </c>
      <c r="N27" s="3">
        <v>25</v>
      </c>
      <c r="O27" s="3">
        <f t="shared" si="1"/>
        <v>1145</v>
      </c>
      <c r="P27" s="3" t="s">
        <v>58</v>
      </c>
      <c r="Q27" s="3" t="s">
        <v>91</v>
      </c>
    </row>
    <row r="28" spans="1:17" ht="15" customHeight="1" x14ac:dyDescent="0.3">
      <c r="A28" s="3">
        <v>22</v>
      </c>
      <c r="B28" s="3" t="s">
        <v>4</v>
      </c>
      <c r="C28" s="3">
        <v>70</v>
      </c>
      <c r="D28" s="3">
        <v>5</v>
      </c>
      <c r="E28" s="3">
        <v>14</v>
      </c>
      <c r="F28" s="3" t="s">
        <v>20</v>
      </c>
      <c r="G28" s="3" t="s">
        <v>168</v>
      </c>
      <c r="H28" s="3" t="s">
        <v>116</v>
      </c>
      <c r="I28" s="5">
        <v>5023421409608</v>
      </c>
      <c r="J28" s="5" t="s">
        <v>177</v>
      </c>
      <c r="K28" s="4" t="s">
        <v>184</v>
      </c>
      <c r="L28" s="3">
        <v>18</v>
      </c>
      <c r="M28" s="3">
        <f t="shared" si="0"/>
        <v>1260</v>
      </c>
      <c r="N28" s="3">
        <v>25</v>
      </c>
      <c r="O28" s="3">
        <f t="shared" si="1"/>
        <v>1285</v>
      </c>
      <c r="P28" s="3" t="s">
        <v>58</v>
      </c>
      <c r="Q28" s="3" t="s">
        <v>89</v>
      </c>
    </row>
    <row r="29" spans="1:17" ht="15" customHeight="1" x14ac:dyDescent="0.3">
      <c r="A29" s="3">
        <v>23</v>
      </c>
      <c r="B29" s="3" t="s">
        <v>4</v>
      </c>
      <c r="C29" s="3">
        <v>80</v>
      </c>
      <c r="D29" s="3">
        <v>5</v>
      </c>
      <c r="E29" s="3">
        <v>16</v>
      </c>
      <c r="F29" s="3" t="s">
        <v>21</v>
      </c>
      <c r="G29" s="3" t="s">
        <v>168</v>
      </c>
      <c r="H29" s="3" t="s">
        <v>106</v>
      </c>
      <c r="I29" s="5">
        <v>5023421409516</v>
      </c>
      <c r="J29" s="5" t="s">
        <v>177</v>
      </c>
      <c r="K29" s="4" t="s">
        <v>189</v>
      </c>
      <c r="L29" s="3">
        <v>15</v>
      </c>
      <c r="M29" s="3">
        <f t="shared" si="0"/>
        <v>1200</v>
      </c>
      <c r="N29" s="3">
        <v>25</v>
      </c>
      <c r="O29" s="3">
        <f t="shared" si="1"/>
        <v>1225</v>
      </c>
      <c r="P29" s="3" t="s">
        <v>71</v>
      </c>
      <c r="Q29" s="3" t="s">
        <v>70</v>
      </c>
    </row>
    <row r="30" spans="1:17" ht="15" customHeight="1" x14ac:dyDescent="0.3">
      <c r="A30" s="3">
        <v>24</v>
      </c>
      <c r="B30" s="3" t="s">
        <v>74</v>
      </c>
      <c r="C30" s="3">
        <v>100</v>
      </c>
      <c r="D30" s="3">
        <v>4</v>
      </c>
      <c r="E30" s="3">
        <v>25</v>
      </c>
      <c r="F30" s="3" t="s">
        <v>23</v>
      </c>
      <c r="G30" s="3" t="s">
        <v>167</v>
      </c>
      <c r="H30" s="3" t="s">
        <v>117</v>
      </c>
      <c r="I30" s="5">
        <v>5023421409585</v>
      </c>
      <c r="J30" s="5" t="s">
        <v>181</v>
      </c>
      <c r="K30" s="4" t="s">
        <v>183</v>
      </c>
      <c r="L30" s="3">
        <v>10</v>
      </c>
      <c r="M30" s="3">
        <f t="shared" si="0"/>
        <v>1000</v>
      </c>
      <c r="N30" s="3">
        <v>25</v>
      </c>
      <c r="O30" s="3">
        <f t="shared" si="1"/>
        <v>1025</v>
      </c>
      <c r="P30" s="3" t="s">
        <v>59</v>
      </c>
      <c r="Q30" s="3" t="s">
        <v>84</v>
      </c>
    </row>
    <row r="31" spans="1:17" ht="15" customHeight="1" x14ac:dyDescent="0.3">
      <c r="A31" s="3">
        <v>25</v>
      </c>
      <c r="B31" s="3" t="s">
        <v>10</v>
      </c>
      <c r="C31" s="3">
        <v>70</v>
      </c>
      <c r="D31" s="3">
        <v>5</v>
      </c>
      <c r="E31" s="3">
        <v>14</v>
      </c>
      <c r="F31" s="3" t="s">
        <v>9</v>
      </c>
      <c r="G31" s="3" t="s">
        <v>168</v>
      </c>
      <c r="H31" s="3" t="s">
        <v>118</v>
      </c>
      <c r="I31" s="5">
        <v>5023421409660</v>
      </c>
      <c r="J31" s="5" t="s">
        <v>175</v>
      </c>
      <c r="K31" s="4" t="s">
        <v>193</v>
      </c>
      <c r="L31" s="3">
        <v>15</v>
      </c>
      <c r="M31" s="3">
        <f t="shared" si="0"/>
        <v>1050</v>
      </c>
      <c r="N31" s="3">
        <v>25</v>
      </c>
      <c r="O31" s="3">
        <f t="shared" si="1"/>
        <v>1075</v>
      </c>
      <c r="P31" s="3" t="s">
        <v>60</v>
      </c>
      <c r="Q31" s="3" t="s">
        <v>85</v>
      </c>
    </row>
    <row r="32" spans="1:17" ht="15" customHeight="1" x14ac:dyDescent="0.3">
      <c r="A32" s="3">
        <v>50</v>
      </c>
      <c r="B32" s="3" t="s">
        <v>10</v>
      </c>
      <c r="C32" s="3">
        <v>70</v>
      </c>
      <c r="D32" s="3">
        <v>5</v>
      </c>
      <c r="E32" s="3">
        <v>14</v>
      </c>
      <c r="F32" s="3" t="s">
        <v>144</v>
      </c>
      <c r="G32" s="3" t="s">
        <v>168</v>
      </c>
      <c r="H32" s="3" t="s">
        <v>145</v>
      </c>
      <c r="I32" s="5">
        <v>769503877570</v>
      </c>
      <c r="J32" s="5" t="s">
        <v>175</v>
      </c>
      <c r="K32" s="4" t="s">
        <v>193</v>
      </c>
      <c r="L32" s="3">
        <v>20</v>
      </c>
      <c r="M32" s="3">
        <f t="shared" si="0"/>
        <v>1400</v>
      </c>
      <c r="N32" s="3">
        <v>25</v>
      </c>
      <c r="O32" s="3">
        <f t="shared" si="1"/>
        <v>1425</v>
      </c>
      <c r="P32" s="3" t="s">
        <v>60</v>
      </c>
      <c r="Q32" s="3" t="s">
        <v>85</v>
      </c>
    </row>
    <row r="33" spans="1:17" ht="15" customHeight="1" x14ac:dyDescent="0.3">
      <c r="A33" s="3">
        <v>51</v>
      </c>
      <c r="B33" s="3" t="s">
        <v>2</v>
      </c>
      <c r="C33" s="3">
        <v>70</v>
      </c>
      <c r="D33" s="3">
        <v>5</v>
      </c>
      <c r="E33" s="3">
        <v>14</v>
      </c>
      <c r="F33" s="3" t="s">
        <v>146</v>
      </c>
      <c r="G33" s="3" t="s">
        <v>168</v>
      </c>
      <c r="H33" s="3" t="s">
        <v>147</v>
      </c>
      <c r="I33" s="5">
        <v>725765023216</v>
      </c>
      <c r="J33" s="5" t="s">
        <v>174</v>
      </c>
      <c r="K33" s="4" t="s">
        <v>193</v>
      </c>
      <c r="L33" s="3">
        <v>22</v>
      </c>
      <c r="M33" s="3">
        <f t="shared" si="0"/>
        <v>1540</v>
      </c>
      <c r="N33" s="3">
        <v>25</v>
      </c>
      <c r="O33" s="3">
        <f t="shared" si="1"/>
        <v>1565</v>
      </c>
      <c r="P33" s="3" t="s">
        <v>46</v>
      </c>
      <c r="Q33" s="3" t="s">
        <v>186</v>
      </c>
    </row>
    <row r="34" spans="1:17" ht="15" customHeight="1" x14ac:dyDescent="0.3">
      <c r="A34" s="6"/>
      <c r="B34" s="7" t="s">
        <v>34</v>
      </c>
      <c r="C34" s="7"/>
      <c r="D34" s="7"/>
      <c r="E34" s="7"/>
      <c r="F34" s="7"/>
      <c r="G34" s="7"/>
      <c r="H34" s="7"/>
      <c r="I34" s="7"/>
      <c r="J34" s="7"/>
      <c r="K34" s="7"/>
      <c r="L34" s="6"/>
      <c r="M34" s="6"/>
      <c r="N34" s="6"/>
      <c r="O34" s="6"/>
      <c r="P34" s="6"/>
      <c r="Q34" s="6"/>
    </row>
    <row r="35" spans="1:17" ht="15" customHeight="1" x14ac:dyDescent="0.3">
      <c r="A35" s="3">
        <v>56</v>
      </c>
      <c r="B35" s="3" t="s">
        <v>2</v>
      </c>
      <c r="C35" s="3">
        <v>140</v>
      </c>
      <c r="D35" s="3">
        <v>7</v>
      </c>
      <c r="E35" s="3">
        <v>20</v>
      </c>
      <c r="F35" s="3" t="s">
        <v>39</v>
      </c>
      <c r="G35" s="3" t="s">
        <v>168</v>
      </c>
      <c r="H35" s="3" t="s">
        <v>192</v>
      </c>
      <c r="I35" s="5">
        <v>769503877600</v>
      </c>
      <c r="J35" s="5" t="s">
        <v>174</v>
      </c>
      <c r="K35" s="5" t="s">
        <v>193</v>
      </c>
      <c r="L35" s="3"/>
      <c r="M35" s="3">
        <f t="shared" ref="M35:M41" si="2">SUM(L35*C35)</f>
        <v>0</v>
      </c>
      <c r="N35" s="3">
        <v>25</v>
      </c>
      <c r="O35" s="3">
        <f t="shared" ref="O35:O41" si="3">SUM(M35+N35)</f>
        <v>25</v>
      </c>
      <c r="P35" s="3" t="s">
        <v>46</v>
      </c>
      <c r="Q35" s="3"/>
    </row>
    <row r="36" spans="1:17" ht="15" customHeight="1" x14ac:dyDescent="0.3">
      <c r="A36" s="3">
        <v>26</v>
      </c>
      <c r="B36" s="3" t="s">
        <v>22</v>
      </c>
      <c r="C36" s="3">
        <v>70</v>
      </c>
      <c r="D36" s="3">
        <v>5</v>
      </c>
      <c r="E36" s="3">
        <v>14</v>
      </c>
      <c r="F36" s="3" t="s">
        <v>39</v>
      </c>
      <c r="G36" s="3" t="s">
        <v>168</v>
      </c>
      <c r="H36" s="3" t="s">
        <v>119</v>
      </c>
      <c r="I36" s="5">
        <v>604565380609</v>
      </c>
      <c r="J36" s="5" t="s">
        <v>176</v>
      </c>
      <c r="K36" s="5" t="s">
        <v>184</v>
      </c>
      <c r="L36" s="3">
        <v>17</v>
      </c>
      <c r="M36" s="3">
        <f t="shared" si="2"/>
        <v>1190</v>
      </c>
      <c r="N36" s="3">
        <v>25</v>
      </c>
      <c r="O36" s="3">
        <f t="shared" si="3"/>
        <v>1215</v>
      </c>
      <c r="P36" s="3" t="s">
        <v>51</v>
      </c>
      <c r="Q36" s="3" t="s">
        <v>86</v>
      </c>
    </row>
    <row r="37" spans="1:17" s="12" customFormat="1" ht="15" customHeight="1" x14ac:dyDescent="0.3">
      <c r="A37" s="10">
        <v>27</v>
      </c>
      <c r="B37" s="10" t="s">
        <v>22</v>
      </c>
      <c r="C37" s="10">
        <v>70</v>
      </c>
      <c r="D37" s="10">
        <v>5</v>
      </c>
      <c r="E37" s="10">
        <v>14</v>
      </c>
      <c r="F37" s="10" t="s">
        <v>40</v>
      </c>
      <c r="G37" s="10" t="s">
        <v>168</v>
      </c>
      <c r="H37" s="10" t="s">
        <v>120</v>
      </c>
      <c r="I37" s="11">
        <v>604565380616</v>
      </c>
      <c r="J37" s="11" t="s">
        <v>176</v>
      </c>
      <c r="K37" s="11" t="s">
        <v>184</v>
      </c>
      <c r="L37" s="10">
        <v>18.5</v>
      </c>
      <c r="M37" s="10">
        <f t="shared" si="2"/>
        <v>1295</v>
      </c>
      <c r="N37" s="10">
        <v>25</v>
      </c>
      <c r="O37" s="10">
        <f t="shared" si="3"/>
        <v>1320</v>
      </c>
      <c r="P37" s="10" t="s">
        <v>51</v>
      </c>
      <c r="Q37" s="10" t="s">
        <v>86</v>
      </c>
    </row>
    <row r="38" spans="1:17" ht="15" customHeight="1" x14ac:dyDescent="0.3">
      <c r="A38" s="3">
        <v>28</v>
      </c>
      <c r="B38" s="3" t="s">
        <v>22</v>
      </c>
      <c r="C38" s="3">
        <v>70</v>
      </c>
      <c r="D38" s="3">
        <v>5</v>
      </c>
      <c r="E38" s="3">
        <v>14</v>
      </c>
      <c r="F38" s="3" t="s">
        <v>41</v>
      </c>
      <c r="G38" s="3" t="s">
        <v>168</v>
      </c>
      <c r="H38" s="3" t="s">
        <v>121</v>
      </c>
      <c r="I38" s="5">
        <v>604565380623</v>
      </c>
      <c r="J38" s="11" t="s">
        <v>176</v>
      </c>
      <c r="K38" s="5" t="s">
        <v>184</v>
      </c>
      <c r="L38" s="3">
        <v>15</v>
      </c>
      <c r="M38" s="3">
        <f t="shared" si="2"/>
        <v>1050</v>
      </c>
      <c r="N38" s="3">
        <v>25</v>
      </c>
      <c r="O38" s="3">
        <f t="shared" si="3"/>
        <v>1075</v>
      </c>
      <c r="P38" s="3" t="s">
        <v>51</v>
      </c>
      <c r="Q38" s="3" t="s">
        <v>86</v>
      </c>
    </row>
    <row r="39" spans="1:17" ht="15" customHeight="1" x14ac:dyDescent="0.3">
      <c r="A39" s="3">
        <v>47</v>
      </c>
      <c r="B39" s="3" t="s">
        <v>22</v>
      </c>
      <c r="C39" s="3">
        <v>70</v>
      </c>
      <c r="D39" s="3">
        <v>5</v>
      </c>
      <c r="E39" s="3">
        <v>14</v>
      </c>
      <c r="F39" s="3" t="s">
        <v>153</v>
      </c>
      <c r="G39" s="3" t="s">
        <v>168</v>
      </c>
      <c r="H39" s="3" t="s">
        <v>154</v>
      </c>
      <c r="I39" s="5">
        <v>725765023223</v>
      </c>
      <c r="J39" s="11" t="s">
        <v>176</v>
      </c>
      <c r="K39" s="5" t="s">
        <v>184</v>
      </c>
      <c r="L39" s="3">
        <v>17</v>
      </c>
      <c r="M39" s="3">
        <f t="shared" si="2"/>
        <v>1190</v>
      </c>
      <c r="N39" s="3">
        <v>25</v>
      </c>
      <c r="O39" s="3">
        <f t="shared" si="3"/>
        <v>1215</v>
      </c>
      <c r="P39" s="3" t="s">
        <v>51</v>
      </c>
      <c r="Q39" s="3" t="s">
        <v>86</v>
      </c>
    </row>
    <row r="40" spans="1:17" ht="15" customHeight="1" x14ac:dyDescent="0.3">
      <c r="A40" s="3">
        <v>48</v>
      </c>
      <c r="B40" s="3" t="s">
        <v>22</v>
      </c>
      <c r="C40" s="3">
        <v>70</v>
      </c>
      <c r="D40" s="3">
        <v>5</v>
      </c>
      <c r="E40" s="3">
        <v>14</v>
      </c>
      <c r="F40" s="3" t="s">
        <v>155</v>
      </c>
      <c r="G40" s="3" t="s">
        <v>168</v>
      </c>
      <c r="H40" s="3" t="s">
        <v>156</v>
      </c>
      <c r="I40" s="5">
        <v>725765023230</v>
      </c>
      <c r="J40" s="11" t="s">
        <v>176</v>
      </c>
      <c r="K40" s="5" t="s">
        <v>184</v>
      </c>
      <c r="L40" s="3">
        <v>17</v>
      </c>
      <c r="M40" s="3">
        <f t="shared" si="2"/>
        <v>1190</v>
      </c>
      <c r="N40" s="3">
        <v>25</v>
      </c>
      <c r="O40" s="3">
        <f t="shared" si="3"/>
        <v>1215</v>
      </c>
      <c r="P40" s="3" t="s">
        <v>51</v>
      </c>
      <c r="Q40" s="3" t="s">
        <v>86</v>
      </c>
    </row>
    <row r="41" spans="1:17" ht="15" customHeight="1" x14ac:dyDescent="0.3">
      <c r="A41" s="3">
        <v>49</v>
      </c>
      <c r="B41" s="3" t="s">
        <v>44</v>
      </c>
      <c r="C41" s="3">
        <v>80</v>
      </c>
      <c r="D41" s="3">
        <v>5</v>
      </c>
      <c r="E41" s="3">
        <v>16</v>
      </c>
      <c r="F41" s="3" t="s">
        <v>157</v>
      </c>
      <c r="G41" s="3" t="s">
        <v>168</v>
      </c>
      <c r="H41" s="3" t="s">
        <v>158</v>
      </c>
      <c r="I41" s="5">
        <v>725765023247</v>
      </c>
      <c r="J41" s="11" t="s">
        <v>180</v>
      </c>
      <c r="K41" s="5" t="s">
        <v>189</v>
      </c>
      <c r="L41" s="3">
        <v>15</v>
      </c>
      <c r="M41" s="3">
        <f t="shared" si="2"/>
        <v>1200</v>
      </c>
      <c r="N41" s="3">
        <v>25</v>
      </c>
      <c r="O41" s="3">
        <f t="shared" si="3"/>
        <v>1225</v>
      </c>
      <c r="P41" s="3" t="s">
        <v>75</v>
      </c>
      <c r="Q41" s="3" t="s">
        <v>76</v>
      </c>
    </row>
    <row r="42" spans="1:17" ht="15" customHeight="1" x14ac:dyDescent="0.3">
      <c r="A42" s="6"/>
      <c r="B42" s="7" t="s">
        <v>36</v>
      </c>
      <c r="C42" s="7"/>
      <c r="D42" s="7"/>
      <c r="E42" s="7"/>
      <c r="F42" s="7"/>
      <c r="G42" s="7"/>
      <c r="H42" s="7"/>
      <c r="I42" s="7"/>
      <c r="J42" s="7"/>
      <c r="K42" s="7"/>
      <c r="L42" s="6"/>
      <c r="M42" s="6"/>
      <c r="N42" s="6"/>
      <c r="O42" s="6"/>
      <c r="P42" s="6"/>
      <c r="Q42" s="6"/>
    </row>
    <row r="43" spans="1:17" ht="15" customHeight="1" x14ac:dyDescent="0.3">
      <c r="A43" s="3">
        <v>29</v>
      </c>
      <c r="B43" s="3" t="s">
        <v>22</v>
      </c>
      <c r="C43" s="3">
        <v>80</v>
      </c>
      <c r="D43" s="3">
        <v>5</v>
      </c>
      <c r="E43" s="3">
        <v>16</v>
      </c>
      <c r="F43" s="3" t="s">
        <v>42</v>
      </c>
      <c r="G43" s="3" t="s">
        <v>166</v>
      </c>
      <c r="H43" s="3" t="s">
        <v>122</v>
      </c>
      <c r="I43" s="5">
        <v>604565380548</v>
      </c>
      <c r="J43" s="11" t="s">
        <v>176</v>
      </c>
      <c r="K43" s="5" t="s">
        <v>189</v>
      </c>
      <c r="L43" s="3">
        <v>15</v>
      </c>
      <c r="M43" s="3">
        <f>SUM(L43*C43)</f>
        <v>1200</v>
      </c>
      <c r="N43" s="3">
        <v>25</v>
      </c>
      <c r="O43" s="3">
        <f>SUM(M43+N43)</f>
        <v>1225</v>
      </c>
      <c r="P43" s="3" t="s">
        <v>51</v>
      </c>
      <c r="Q43" s="3" t="s">
        <v>87</v>
      </c>
    </row>
    <row r="44" spans="1:17" ht="15" customHeight="1" x14ac:dyDescent="0.3">
      <c r="A44" s="3">
        <v>30</v>
      </c>
      <c r="B44" s="3" t="s">
        <v>44</v>
      </c>
      <c r="C44" s="3">
        <v>80</v>
      </c>
      <c r="D44" s="3">
        <v>5</v>
      </c>
      <c r="E44" s="3">
        <v>16</v>
      </c>
      <c r="F44" s="3" t="s">
        <v>43</v>
      </c>
      <c r="G44" s="3" t="s">
        <v>168</v>
      </c>
      <c r="H44" s="3" t="s">
        <v>123</v>
      </c>
      <c r="I44" s="5">
        <v>604565380562</v>
      </c>
      <c r="J44" s="11" t="s">
        <v>180</v>
      </c>
      <c r="K44" s="5" t="s">
        <v>189</v>
      </c>
      <c r="L44" s="3">
        <v>15</v>
      </c>
      <c r="M44" s="3">
        <f>SUM(L44*C44)</f>
        <v>1200</v>
      </c>
      <c r="N44" s="3">
        <v>25</v>
      </c>
      <c r="O44" s="3">
        <f>SUM(M44+N44)</f>
        <v>1225</v>
      </c>
      <c r="P44" s="3" t="s">
        <v>75</v>
      </c>
      <c r="Q44" s="3" t="s">
        <v>76</v>
      </c>
    </row>
    <row r="45" spans="1:17" ht="15" customHeight="1" x14ac:dyDescent="0.3">
      <c r="A45" s="6"/>
      <c r="B45" s="7" t="s">
        <v>37</v>
      </c>
      <c r="C45" s="7"/>
      <c r="D45" s="7"/>
      <c r="E45" s="7"/>
      <c r="F45" s="7"/>
      <c r="G45" s="7"/>
      <c r="H45" s="7"/>
      <c r="I45" s="7"/>
      <c r="J45" s="7"/>
      <c r="K45" s="7"/>
      <c r="L45" s="6"/>
      <c r="M45" s="6"/>
      <c r="N45" s="6"/>
      <c r="O45" s="6"/>
      <c r="P45" s="6"/>
      <c r="Q45" s="6"/>
    </row>
    <row r="46" spans="1:17" ht="15" customHeight="1" x14ac:dyDescent="0.3">
      <c r="A46" s="3">
        <v>31</v>
      </c>
      <c r="B46" s="3" t="s">
        <v>4</v>
      </c>
      <c r="C46" s="3">
        <v>80</v>
      </c>
      <c r="D46" s="3">
        <v>5</v>
      </c>
      <c r="E46" s="3">
        <v>16</v>
      </c>
      <c r="F46" s="3" t="s">
        <v>5</v>
      </c>
      <c r="G46" s="3" t="s">
        <v>166</v>
      </c>
      <c r="H46" s="3" t="s">
        <v>124</v>
      </c>
      <c r="I46" s="5">
        <v>700461504085</v>
      </c>
      <c r="J46" s="11" t="s">
        <v>177</v>
      </c>
      <c r="K46" s="5" t="s">
        <v>189</v>
      </c>
      <c r="L46" s="3">
        <v>14</v>
      </c>
      <c r="M46" s="3">
        <v>1120</v>
      </c>
      <c r="N46" s="3">
        <v>25</v>
      </c>
      <c r="O46" s="3">
        <v>1145</v>
      </c>
      <c r="P46" s="3" t="s">
        <v>52</v>
      </c>
      <c r="Q46" s="3" t="s">
        <v>81</v>
      </c>
    </row>
    <row r="47" spans="1:17" ht="15" customHeight="1" x14ac:dyDescent="0.3">
      <c r="A47" s="3">
        <v>32</v>
      </c>
      <c r="B47" s="3" t="s">
        <v>4</v>
      </c>
      <c r="C47" s="3">
        <v>70</v>
      </c>
      <c r="D47" s="3">
        <v>5</v>
      </c>
      <c r="E47" s="3">
        <v>14</v>
      </c>
      <c r="F47" s="3" t="s">
        <v>11</v>
      </c>
      <c r="G47" s="3" t="s">
        <v>166</v>
      </c>
      <c r="H47" s="3" t="s">
        <v>125</v>
      </c>
      <c r="I47" s="5">
        <v>700461589228</v>
      </c>
      <c r="J47" s="11" t="s">
        <v>177</v>
      </c>
      <c r="K47" s="5" t="s">
        <v>184</v>
      </c>
      <c r="L47" s="3">
        <v>14.5</v>
      </c>
      <c r="M47" s="3">
        <f>SUM(L47*C47)</f>
        <v>1015</v>
      </c>
      <c r="N47" s="3">
        <v>25</v>
      </c>
      <c r="O47" s="3">
        <f>SUM(M47+N47)</f>
        <v>1040</v>
      </c>
      <c r="P47" s="3" t="s">
        <v>52</v>
      </c>
      <c r="Q47" s="3" t="s">
        <v>82</v>
      </c>
    </row>
    <row r="48" spans="1:17" ht="15" customHeight="1" x14ac:dyDescent="0.3">
      <c r="A48" s="3">
        <v>33</v>
      </c>
      <c r="B48" s="3" t="s">
        <v>10</v>
      </c>
      <c r="C48" s="3">
        <v>70</v>
      </c>
      <c r="D48" s="3">
        <v>5</v>
      </c>
      <c r="E48" s="3">
        <v>14</v>
      </c>
      <c r="F48" s="3" t="s">
        <v>9</v>
      </c>
      <c r="G48" s="3" t="s">
        <v>168</v>
      </c>
      <c r="H48" s="3" t="s">
        <v>126</v>
      </c>
      <c r="I48" s="5">
        <v>700461664154</v>
      </c>
      <c r="J48" s="11" t="s">
        <v>175</v>
      </c>
      <c r="K48" s="5" t="s">
        <v>187</v>
      </c>
      <c r="L48" s="3">
        <v>19</v>
      </c>
      <c r="M48" s="3">
        <v>1330</v>
      </c>
      <c r="N48" s="3">
        <v>25</v>
      </c>
      <c r="O48" s="3">
        <v>1355</v>
      </c>
      <c r="P48" s="3" t="s">
        <v>60</v>
      </c>
      <c r="Q48" s="3" t="s">
        <v>85</v>
      </c>
    </row>
    <row r="49" spans="1:17" ht="15" customHeight="1" x14ac:dyDescent="0.3">
      <c r="A49" s="3">
        <v>34</v>
      </c>
      <c r="B49" s="3" t="s">
        <v>10</v>
      </c>
      <c r="C49" s="3">
        <v>70</v>
      </c>
      <c r="D49" s="3">
        <v>5</v>
      </c>
      <c r="E49" s="3">
        <v>14</v>
      </c>
      <c r="F49" s="3" t="s">
        <v>28</v>
      </c>
      <c r="G49" s="3" t="s">
        <v>168</v>
      </c>
      <c r="H49" s="3" t="s">
        <v>127</v>
      </c>
      <c r="I49" s="5">
        <v>700461243731</v>
      </c>
      <c r="J49" s="11" t="s">
        <v>175</v>
      </c>
      <c r="K49" s="5" t="s">
        <v>187</v>
      </c>
      <c r="L49" s="3">
        <v>11</v>
      </c>
      <c r="M49" s="3">
        <v>770</v>
      </c>
      <c r="N49" s="3">
        <v>25</v>
      </c>
      <c r="O49" s="3">
        <v>795</v>
      </c>
      <c r="P49" s="3" t="s">
        <v>60</v>
      </c>
      <c r="Q49" s="3" t="s">
        <v>85</v>
      </c>
    </row>
    <row r="50" spans="1:17" ht="15" customHeight="1" x14ac:dyDescent="0.3">
      <c r="A50" s="3">
        <v>35</v>
      </c>
      <c r="B50" s="3" t="s">
        <v>10</v>
      </c>
      <c r="C50" s="3">
        <v>70</v>
      </c>
      <c r="D50" s="3">
        <v>5</v>
      </c>
      <c r="E50" s="3">
        <v>14</v>
      </c>
      <c r="F50" s="3" t="s">
        <v>161</v>
      </c>
      <c r="G50" s="3" t="s">
        <v>168</v>
      </c>
      <c r="H50" s="3" t="s">
        <v>128</v>
      </c>
      <c r="I50" s="5">
        <v>700461243748</v>
      </c>
      <c r="J50" s="11" t="s">
        <v>175</v>
      </c>
      <c r="K50" s="5" t="s">
        <v>187</v>
      </c>
      <c r="L50" s="3">
        <v>11</v>
      </c>
      <c r="M50" s="3">
        <v>770</v>
      </c>
      <c r="N50" s="3">
        <v>25</v>
      </c>
      <c r="O50" s="3">
        <v>795</v>
      </c>
      <c r="P50" s="3" t="s">
        <v>60</v>
      </c>
      <c r="Q50" s="3" t="s">
        <v>85</v>
      </c>
    </row>
    <row r="51" spans="1:17" ht="15" customHeight="1" x14ac:dyDescent="0.3">
      <c r="A51" s="3">
        <v>36</v>
      </c>
      <c r="B51" s="3" t="s">
        <v>10</v>
      </c>
      <c r="C51" s="3">
        <v>70</v>
      </c>
      <c r="D51" s="3">
        <v>5</v>
      </c>
      <c r="E51" s="3">
        <v>14</v>
      </c>
      <c r="F51" s="3" t="s">
        <v>162</v>
      </c>
      <c r="G51" s="3" t="s">
        <v>168</v>
      </c>
      <c r="H51" s="3" t="s">
        <v>129</v>
      </c>
      <c r="I51" s="5">
        <v>700461243755</v>
      </c>
      <c r="J51" s="11" t="s">
        <v>175</v>
      </c>
      <c r="K51" s="5" t="s">
        <v>187</v>
      </c>
      <c r="L51" s="3">
        <v>11</v>
      </c>
      <c r="M51" s="3">
        <v>770</v>
      </c>
      <c r="N51" s="3">
        <v>25</v>
      </c>
      <c r="O51" s="3">
        <v>795</v>
      </c>
      <c r="P51" s="3" t="s">
        <v>60</v>
      </c>
      <c r="Q51" s="3" t="s">
        <v>85</v>
      </c>
    </row>
    <row r="52" spans="1:17" ht="15" customHeight="1" x14ac:dyDescent="0.3">
      <c r="A52" s="3">
        <v>37</v>
      </c>
      <c r="B52" s="3" t="s">
        <v>10</v>
      </c>
      <c r="C52" s="3">
        <v>70</v>
      </c>
      <c r="D52" s="3">
        <v>5</v>
      </c>
      <c r="E52" s="3">
        <v>14</v>
      </c>
      <c r="F52" s="3" t="s">
        <v>163</v>
      </c>
      <c r="G52" s="3" t="s">
        <v>168</v>
      </c>
      <c r="H52" s="3" t="s">
        <v>130</v>
      </c>
      <c r="I52" s="5">
        <v>700461243762</v>
      </c>
      <c r="J52" s="11" t="s">
        <v>175</v>
      </c>
      <c r="K52" s="5" t="s">
        <v>187</v>
      </c>
      <c r="L52" s="3">
        <v>11</v>
      </c>
      <c r="M52" s="3">
        <v>770</v>
      </c>
      <c r="N52" s="3">
        <v>25</v>
      </c>
      <c r="O52" s="3">
        <v>795</v>
      </c>
      <c r="P52" s="3" t="s">
        <v>60</v>
      </c>
      <c r="Q52" s="3" t="s">
        <v>85</v>
      </c>
    </row>
    <row r="53" spans="1:17" ht="15" customHeight="1" x14ac:dyDescent="0.3">
      <c r="A53" s="6"/>
      <c r="B53" s="7" t="s">
        <v>38</v>
      </c>
      <c r="C53" s="7"/>
      <c r="D53" s="7"/>
      <c r="E53" s="7"/>
      <c r="F53" s="7"/>
      <c r="G53" s="7"/>
      <c r="H53" s="7"/>
      <c r="I53" s="7"/>
      <c r="J53" s="7"/>
      <c r="K53" s="7"/>
      <c r="L53" s="6"/>
      <c r="M53" s="6"/>
      <c r="N53" s="6"/>
      <c r="O53" s="6"/>
      <c r="P53" s="6"/>
      <c r="Q53" s="6"/>
    </row>
    <row r="54" spans="1:17" ht="15" customHeight="1" x14ac:dyDescent="0.3">
      <c r="A54" s="3">
        <v>38</v>
      </c>
      <c r="B54" s="3" t="s">
        <v>4</v>
      </c>
      <c r="C54" s="3">
        <v>80</v>
      </c>
      <c r="D54" s="3">
        <v>5</v>
      </c>
      <c r="E54" s="3">
        <v>16</v>
      </c>
      <c r="F54" s="3" t="s">
        <v>26</v>
      </c>
      <c r="G54" s="3" t="s">
        <v>168</v>
      </c>
      <c r="H54" s="3" t="s">
        <v>131</v>
      </c>
      <c r="I54" s="5">
        <v>604565380579</v>
      </c>
      <c r="J54" s="11" t="s">
        <v>177</v>
      </c>
      <c r="K54" s="5" t="s">
        <v>189</v>
      </c>
      <c r="L54" s="3">
        <v>14</v>
      </c>
      <c r="M54" s="3">
        <f t="shared" ref="M54:M62" si="4">SUM(L54*C54)</f>
        <v>1120</v>
      </c>
      <c r="N54" s="3">
        <v>25</v>
      </c>
      <c r="O54" s="3">
        <f t="shared" ref="O54:O62" si="5">SUM(M54+N54)</f>
        <v>1145</v>
      </c>
      <c r="P54" s="3" t="s">
        <v>52</v>
      </c>
      <c r="Q54" s="3" t="s">
        <v>81</v>
      </c>
    </row>
    <row r="55" spans="1:17" ht="15" customHeight="1" x14ac:dyDescent="0.3">
      <c r="A55" s="3">
        <v>39</v>
      </c>
      <c r="B55" s="3" t="s">
        <v>22</v>
      </c>
      <c r="C55" s="3">
        <v>90</v>
      </c>
      <c r="D55" s="3">
        <v>5</v>
      </c>
      <c r="E55" s="3">
        <v>18</v>
      </c>
      <c r="F55" s="3" t="s">
        <v>27</v>
      </c>
      <c r="G55" s="3" t="s">
        <v>169</v>
      </c>
      <c r="H55" s="3" t="s">
        <v>132</v>
      </c>
      <c r="I55" s="5">
        <v>604565380531</v>
      </c>
      <c r="J55" s="11" t="s">
        <v>176</v>
      </c>
      <c r="K55" s="5" t="s">
        <v>183</v>
      </c>
      <c r="L55" s="3">
        <v>12.3</v>
      </c>
      <c r="M55" s="3">
        <f t="shared" si="4"/>
        <v>1107</v>
      </c>
      <c r="N55" s="3">
        <v>25</v>
      </c>
      <c r="O55" s="3">
        <f t="shared" si="5"/>
        <v>1132</v>
      </c>
      <c r="P55" s="3" t="s">
        <v>90</v>
      </c>
      <c r="Q55" s="3" t="s">
        <v>72</v>
      </c>
    </row>
    <row r="56" spans="1:17" ht="15" customHeight="1" x14ac:dyDescent="0.3">
      <c r="A56" s="3">
        <v>40</v>
      </c>
      <c r="B56" s="3" t="s">
        <v>4</v>
      </c>
      <c r="C56" s="3">
        <v>70</v>
      </c>
      <c r="D56" s="3">
        <v>5</v>
      </c>
      <c r="E56" s="3">
        <v>14</v>
      </c>
      <c r="F56" s="3" t="s">
        <v>29</v>
      </c>
      <c r="G56" s="3" t="s">
        <v>167</v>
      </c>
      <c r="H56" s="3" t="s">
        <v>133</v>
      </c>
      <c r="I56" s="5">
        <v>604565133427</v>
      </c>
      <c r="J56" s="11" t="s">
        <v>176</v>
      </c>
      <c r="K56" s="5" t="s">
        <v>184</v>
      </c>
      <c r="L56" s="3">
        <v>14</v>
      </c>
      <c r="M56" s="3">
        <f t="shared" si="4"/>
        <v>980</v>
      </c>
      <c r="N56" s="3">
        <v>25</v>
      </c>
      <c r="O56" s="3">
        <f t="shared" si="5"/>
        <v>1005</v>
      </c>
      <c r="P56" s="3" t="s">
        <v>52</v>
      </c>
      <c r="Q56" s="3" t="s">
        <v>81</v>
      </c>
    </row>
    <row r="57" spans="1:17" ht="15" customHeight="1" x14ac:dyDescent="0.3">
      <c r="A57" s="3">
        <v>41</v>
      </c>
      <c r="B57" s="3" t="s">
        <v>3</v>
      </c>
      <c r="C57" s="3">
        <v>100</v>
      </c>
      <c r="D57" s="3">
        <v>5</v>
      </c>
      <c r="E57" s="3">
        <v>20</v>
      </c>
      <c r="F57" s="3" t="s">
        <v>30</v>
      </c>
      <c r="G57" s="3" t="s">
        <v>165</v>
      </c>
      <c r="H57" s="3" t="s">
        <v>134</v>
      </c>
      <c r="I57" s="5">
        <v>604565133434</v>
      </c>
      <c r="J57" s="11" t="s">
        <v>182</v>
      </c>
      <c r="K57" s="5" t="s">
        <v>183</v>
      </c>
      <c r="L57" s="3">
        <v>11</v>
      </c>
      <c r="M57" s="3">
        <f t="shared" si="4"/>
        <v>1100</v>
      </c>
      <c r="N57" s="3">
        <v>25</v>
      </c>
      <c r="O57" s="3">
        <f t="shared" si="5"/>
        <v>1125</v>
      </c>
      <c r="P57" s="3" t="s">
        <v>47</v>
      </c>
      <c r="Q57" s="3" t="s">
        <v>73</v>
      </c>
    </row>
    <row r="58" spans="1:17" ht="15" customHeight="1" x14ac:dyDescent="0.3">
      <c r="A58" s="3">
        <v>42</v>
      </c>
      <c r="B58" s="3" t="s">
        <v>4</v>
      </c>
      <c r="C58" s="3">
        <v>80</v>
      </c>
      <c r="D58" s="3">
        <v>5</v>
      </c>
      <c r="E58" s="3">
        <v>16</v>
      </c>
      <c r="F58" s="3" t="s">
        <v>31</v>
      </c>
      <c r="G58" s="3" t="s">
        <v>168</v>
      </c>
      <c r="H58" s="3" t="s">
        <v>135</v>
      </c>
      <c r="I58" s="5">
        <v>604565133441</v>
      </c>
      <c r="J58" s="11" t="s">
        <v>177</v>
      </c>
      <c r="K58" s="5" t="s">
        <v>189</v>
      </c>
      <c r="L58" s="3">
        <v>14</v>
      </c>
      <c r="M58" s="3">
        <f t="shared" si="4"/>
        <v>1120</v>
      </c>
      <c r="N58" s="3">
        <v>25</v>
      </c>
      <c r="O58" s="3">
        <f t="shared" si="5"/>
        <v>1145</v>
      </c>
      <c r="P58" s="3" t="s">
        <v>52</v>
      </c>
      <c r="Q58" s="3" t="s">
        <v>81</v>
      </c>
    </row>
    <row r="59" spans="1:17" ht="15" customHeight="1" x14ac:dyDescent="0.3">
      <c r="A59" s="3">
        <v>43</v>
      </c>
      <c r="B59" s="3" t="s">
        <v>12</v>
      </c>
      <c r="C59" s="3">
        <v>57</v>
      </c>
      <c r="D59" s="3">
        <v>3</v>
      </c>
      <c r="E59" s="3">
        <v>19</v>
      </c>
      <c r="F59" s="3" t="s">
        <v>32</v>
      </c>
      <c r="G59" s="3" t="s">
        <v>168</v>
      </c>
      <c r="H59" s="3" t="s">
        <v>136</v>
      </c>
      <c r="I59" s="5">
        <v>604565133458</v>
      </c>
      <c r="J59" s="11" t="s">
        <v>178</v>
      </c>
      <c r="K59" s="5" t="s">
        <v>183</v>
      </c>
      <c r="L59" s="3">
        <v>21</v>
      </c>
      <c r="M59" s="3">
        <f t="shared" si="4"/>
        <v>1197</v>
      </c>
      <c r="N59" s="3">
        <v>25</v>
      </c>
      <c r="O59" s="3">
        <f t="shared" si="5"/>
        <v>1222</v>
      </c>
      <c r="P59" s="3" t="s">
        <v>53</v>
      </c>
      <c r="Q59" s="3" t="s">
        <v>77</v>
      </c>
    </row>
    <row r="60" spans="1:17" ht="15" customHeight="1" x14ac:dyDescent="0.3">
      <c r="A60" s="3">
        <v>44</v>
      </c>
      <c r="B60" s="3" t="s">
        <v>4</v>
      </c>
      <c r="C60" s="3">
        <v>80</v>
      </c>
      <c r="D60" s="3">
        <v>5</v>
      </c>
      <c r="E60" s="3">
        <v>16</v>
      </c>
      <c r="F60" s="3" t="s">
        <v>33</v>
      </c>
      <c r="G60" s="3" t="s">
        <v>168</v>
      </c>
      <c r="H60" s="3" t="s">
        <v>137</v>
      </c>
      <c r="I60" s="5">
        <v>604565133465</v>
      </c>
      <c r="J60" s="11" t="s">
        <v>177</v>
      </c>
      <c r="K60" s="5" t="s">
        <v>189</v>
      </c>
      <c r="L60" s="3">
        <v>14</v>
      </c>
      <c r="M60" s="3">
        <f t="shared" si="4"/>
        <v>1120</v>
      </c>
      <c r="N60" s="3">
        <v>25</v>
      </c>
      <c r="O60" s="3">
        <f t="shared" si="5"/>
        <v>1145</v>
      </c>
      <c r="P60" s="3" t="s">
        <v>52</v>
      </c>
      <c r="Q60" s="3" t="s">
        <v>81</v>
      </c>
    </row>
    <row r="61" spans="1:17" ht="15" customHeight="1" x14ac:dyDescent="0.3">
      <c r="A61" s="3">
        <v>45</v>
      </c>
      <c r="B61" s="3" t="s">
        <v>1</v>
      </c>
      <c r="C61" s="3">
        <v>300</v>
      </c>
      <c r="D61" s="3">
        <v>10</v>
      </c>
      <c r="E61" s="3">
        <v>30</v>
      </c>
      <c r="F61" s="3" t="s">
        <v>93</v>
      </c>
      <c r="G61" s="3" t="s">
        <v>165</v>
      </c>
      <c r="H61" s="3" t="s">
        <v>139</v>
      </c>
      <c r="I61" s="9" t="s">
        <v>138</v>
      </c>
      <c r="J61" s="11" t="s">
        <v>171</v>
      </c>
      <c r="K61" s="5" t="s">
        <v>173</v>
      </c>
      <c r="L61" s="3">
        <v>3.05</v>
      </c>
      <c r="M61" s="3">
        <f t="shared" si="4"/>
        <v>915</v>
      </c>
      <c r="N61" s="3">
        <v>25</v>
      </c>
      <c r="O61" s="3">
        <f t="shared" si="5"/>
        <v>940</v>
      </c>
      <c r="P61" s="3" t="s">
        <v>45</v>
      </c>
      <c r="Q61" s="3" t="s">
        <v>80</v>
      </c>
    </row>
    <row r="62" spans="1:17" ht="15" customHeight="1" x14ac:dyDescent="0.3">
      <c r="A62" s="3">
        <v>46</v>
      </c>
      <c r="B62" s="3" t="s">
        <v>1</v>
      </c>
      <c r="C62" s="3">
        <v>300</v>
      </c>
      <c r="D62" s="3">
        <v>10</v>
      </c>
      <c r="E62" s="3">
        <v>30</v>
      </c>
      <c r="F62" s="3" t="s">
        <v>94</v>
      </c>
      <c r="G62" s="3" t="s">
        <v>165</v>
      </c>
      <c r="H62" s="3" t="s">
        <v>140</v>
      </c>
      <c r="I62" s="9" t="s">
        <v>141</v>
      </c>
      <c r="J62" s="11" t="s">
        <v>171</v>
      </c>
      <c r="K62" s="5" t="s">
        <v>173</v>
      </c>
      <c r="L62" s="3">
        <v>3.05</v>
      </c>
      <c r="M62" s="3">
        <f t="shared" si="4"/>
        <v>915</v>
      </c>
      <c r="N62" s="3">
        <v>25</v>
      </c>
      <c r="O62" s="3">
        <f t="shared" si="5"/>
        <v>940</v>
      </c>
      <c r="P62" s="3" t="s">
        <v>45</v>
      </c>
      <c r="Q62" s="3" t="s">
        <v>80</v>
      </c>
    </row>
    <row r="64" spans="1:17" x14ac:dyDescent="0.3">
      <c r="I64" s="8"/>
      <c r="J64" s="8"/>
      <c r="K64" s="8"/>
    </row>
  </sheetData>
  <phoneticPr fontId="5" type="noConversion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Neil Hobson</cp:lastModifiedBy>
  <cp:lastPrinted>2022-07-05T11:10:48Z</cp:lastPrinted>
  <dcterms:created xsi:type="dcterms:W3CDTF">2015-06-15T11:58:48Z</dcterms:created>
  <dcterms:modified xsi:type="dcterms:W3CDTF">2023-12-28T21:21:07Z</dcterms:modified>
</cp:coreProperties>
</file>